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26"/>
  <workbookPr/>
  <mc:AlternateContent xmlns:mc="http://schemas.openxmlformats.org/markup-compatibility/2006">
    <mc:Choice Requires="x15">
      <x15ac:absPath xmlns:x15ac="http://schemas.microsoft.com/office/spreadsheetml/2010/11/ac" url="G:\Desktop\博士\huawei\交付流变仪\自研流变仪测试数据\"/>
    </mc:Choice>
  </mc:AlternateContent>
  <xr:revisionPtr revIDLastSave="0" documentId="13_ncr:1_{04038A5E-AD2D-450C-B8C8-920448B6E69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  <sheet name="Sheet2" sheetId="2" r:id="rId2"/>
    <sheet name="Sheet3" sheetId="3" r:id="rId3"/>
  </sheets>
  <definedNames>
    <definedName name="_FilterDatabase" localSheetId="0" hidden="1">Sheet1!$A$1:$I$107</definedName>
    <definedName name="_xlnm.Data_Form" localSheetId="0" hidden="1">Sheet1!$A$1:$I$49</definedName>
    <definedName name="_xlnm._FilterDatabase" localSheetId="0" hidden="1">Sheet1!$A$1:$I$67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87" i="1" l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15" i="1"/>
  <c r="H114" i="1"/>
  <c r="H113" i="1"/>
  <c r="H112" i="1"/>
  <c r="H111" i="1"/>
  <c r="H110" i="1"/>
  <c r="H109" i="1"/>
  <c r="H108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85" i="1"/>
  <c r="H86" i="1"/>
  <c r="H87" i="1"/>
  <c r="H88" i="1"/>
  <c r="H89" i="1"/>
  <c r="H90" i="1"/>
  <c r="H91" i="1"/>
  <c r="H84" i="1"/>
  <c r="H9" i="1"/>
  <c r="H6" i="1"/>
  <c r="H18" i="1"/>
  <c r="H22" i="1"/>
  <c r="H36" i="1"/>
  <c r="H53" i="1"/>
  <c r="H60" i="1"/>
  <c r="H72" i="1"/>
  <c r="H77" i="1"/>
  <c r="H83" i="1"/>
  <c r="H82" i="1"/>
  <c r="H81" i="1"/>
  <c r="H80" i="1"/>
  <c r="H79" i="1"/>
  <c r="H78" i="1"/>
  <c r="H76" i="1"/>
  <c r="H75" i="1"/>
  <c r="H74" i="1"/>
  <c r="H73" i="1"/>
  <c r="H71" i="1"/>
  <c r="H70" i="1"/>
  <c r="H69" i="1"/>
  <c r="H68" i="1"/>
  <c r="H67" i="1"/>
  <c r="H66" i="1"/>
  <c r="H65" i="1"/>
  <c r="H64" i="1"/>
  <c r="H63" i="1"/>
  <c r="H62" i="1"/>
  <c r="H55" i="1"/>
  <c r="H54" i="1"/>
  <c r="H52" i="1"/>
  <c r="H51" i="1"/>
  <c r="H50" i="1"/>
  <c r="H49" i="1"/>
  <c r="H48" i="1"/>
  <c r="H47" i="1"/>
  <c r="H46" i="1"/>
  <c r="H45" i="1"/>
  <c r="H44" i="1"/>
  <c r="H61" i="1"/>
  <c r="H59" i="1"/>
  <c r="H58" i="1"/>
  <c r="H57" i="1"/>
  <c r="H56" i="1"/>
  <c r="H7" i="1"/>
  <c r="H5" i="1"/>
  <c r="H4" i="1"/>
  <c r="H3" i="1"/>
  <c r="H2" i="1"/>
  <c r="H25" i="1"/>
  <c r="H24" i="1"/>
  <c r="H23" i="1"/>
  <c r="H21" i="1"/>
  <c r="H20" i="1"/>
  <c r="H43" i="1"/>
  <c r="H42" i="1"/>
  <c r="H41" i="1"/>
  <c r="H40" i="1"/>
  <c r="H39" i="1"/>
  <c r="H38" i="1"/>
  <c r="H37" i="1"/>
  <c r="H35" i="1"/>
  <c r="H34" i="1"/>
  <c r="H33" i="1"/>
  <c r="H32" i="1"/>
  <c r="H19" i="1"/>
  <c r="H17" i="1"/>
  <c r="H16" i="1"/>
  <c r="H15" i="1"/>
  <c r="H14" i="1"/>
  <c r="H31" i="1"/>
  <c r="H30" i="1"/>
  <c r="H29" i="1"/>
  <c r="H28" i="1"/>
  <c r="H27" i="1"/>
  <c r="H26" i="1"/>
  <c r="H8" i="1"/>
  <c r="H10" i="1"/>
  <c r="H11" i="1"/>
  <c r="H12" i="1"/>
  <c r="H13" i="1"/>
</calcChain>
</file>

<file path=xl/sharedStrings.xml><?xml version="1.0" encoding="utf-8"?>
<sst xmlns="http://schemas.openxmlformats.org/spreadsheetml/2006/main" count="788" uniqueCount="94">
  <si>
    <t>平行杆</t>
    <phoneticPr fontId="2" type="noConversion"/>
  </si>
  <si>
    <t>转速（rpm）</t>
    <phoneticPr fontId="2" type="noConversion"/>
  </si>
  <si>
    <t>电流（A）</t>
    <phoneticPr fontId="2" type="noConversion"/>
  </si>
  <si>
    <t>磁场（T）</t>
    <phoneticPr fontId="2" type="noConversion"/>
  </si>
  <si>
    <t>扭矩（mNm）</t>
    <phoneticPr fontId="2" type="noConversion"/>
  </si>
  <si>
    <t>剪切应力（MPa）</t>
    <phoneticPr fontId="2" type="noConversion"/>
  </si>
  <si>
    <t>测试日期</t>
    <phoneticPr fontId="2" type="noConversion"/>
  </si>
  <si>
    <t>点阵2</t>
    <phoneticPr fontId="2" type="noConversion"/>
  </si>
  <si>
    <t>0508</t>
    <phoneticPr fontId="2" type="noConversion"/>
  </si>
  <si>
    <t>粗糙度2</t>
    <phoneticPr fontId="2" type="noConversion"/>
  </si>
  <si>
    <t>0509</t>
    <phoneticPr fontId="2" type="noConversion"/>
  </si>
  <si>
    <t>0511</t>
    <phoneticPr fontId="2" type="noConversion"/>
  </si>
  <si>
    <t>材料名称</t>
    <phoneticPr fontId="2" type="noConversion"/>
  </si>
  <si>
    <t>具体材料配比</t>
    <phoneticPr fontId="2" type="noConversion"/>
  </si>
  <si>
    <t>c24</t>
  </si>
  <si>
    <t>c24</t>
    <phoneticPr fontId="2" type="noConversion"/>
  </si>
  <si>
    <t>DKN10000-QX08-STBC-TYY55-92-0.4 6.6 3</t>
  </si>
  <si>
    <t>DKN10000-QX08-STBC-TYY55-92-0.4 6.6 3</t>
    <phoneticPr fontId="2" type="noConversion"/>
  </si>
  <si>
    <t>点阵2</t>
  </si>
  <si>
    <t>粗糙度2</t>
  </si>
  <si>
    <t>c25</t>
    <phoneticPr fontId="2" type="noConversion"/>
  </si>
  <si>
    <t>DKN10000-QZ05-STBC-TYY55-92-0.4 6.6 3</t>
  </si>
  <si>
    <t>DKN10000-QZ05-STBC-TYY55-92-0.4 6.6 3</t>
    <phoneticPr fontId="2" type="noConversion"/>
  </si>
  <si>
    <t>0508</t>
  </si>
  <si>
    <t>0509</t>
  </si>
  <si>
    <t>0511</t>
  </si>
  <si>
    <t>DKN7500-XD05-STBC-XD30-92.7-1 8 1</t>
    <phoneticPr fontId="2" type="noConversion"/>
  </si>
  <si>
    <t>粗糙度1</t>
    <phoneticPr fontId="2" type="noConversion"/>
  </si>
  <si>
    <t>0512</t>
    <phoneticPr fontId="2" type="noConversion"/>
  </si>
  <si>
    <t>DKN7500-XD05-STBC-XD30-92.7-1 8 1</t>
  </si>
  <si>
    <t>粗糙度1</t>
  </si>
  <si>
    <t>0512</t>
  </si>
  <si>
    <t>光滑</t>
    <phoneticPr fontId="2" type="noConversion"/>
  </si>
  <si>
    <t>0430</t>
    <phoneticPr fontId="2" type="noConversion"/>
  </si>
  <si>
    <t>0514</t>
    <phoneticPr fontId="2" type="noConversion"/>
  </si>
  <si>
    <t>PIB1300-QZ05-STBC-TYY55-90-0.4 8.6 1</t>
    <phoneticPr fontId="2" type="noConversion"/>
  </si>
  <si>
    <t>0513</t>
  </si>
  <si>
    <t>PIB1300-QZ05-STBC-TYY55-90-0.4 8.6 1</t>
  </si>
  <si>
    <t>DKN10000-QZ05-STBC-SmFeN-91.5-0.4 6.6 3</t>
    <phoneticPr fontId="2" type="noConversion"/>
  </si>
  <si>
    <t>DKN10000-QZ05-STBC-SmFeN-91.5-0.4 6.6 3</t>
  </si>
  <si>
    <t>DKN5000-ZY01-STBC-TYY55-92-0.4 6.6 3</t>
    <phoneticPr fontId="2" type="noConversion"/>
  </si>
  <si>
    <t>DKN5000-ZY01-STBC-TYY55-92-0.4 6.6 3</t>
  </si>
  <si>
    <t>0514</t>
  </si>
  <si>
    <t>c16</t>
    <phoneticPr fontId="2" type="noConversion"/>
  </si>
  <si>
    <t>c26</t>
    <phoneticPr fontId="2" type="noConversion"/>
  </si>
  <si>
    <t>c27</t>
    <phoneticPr fontId="2" type="noConversion"/>
  </si>
  <si>
    <t>c28</t>
    <phoneticPr fontId="2" type="noConversion"/>
  </si>
  <si>
    <t>DKN10000-QZ08-STBC-TYY55-91-0.4 8.6 1</t>
  </si>
  <si>
    <t>0515</t>
  </si>
  <si>
    <t>DKN10000-QZ08-STBC-TYY55-91-0.4 8.6 1</t>
    <phoneticPr fontId="2" type="noConversion"/>
  </si>
  <si>
    <t>DKN10000-XD05-STBC-XD30-91-0.4 8.6 1</t>
  </si>
  <si>
    <t>0516</t>
  </si>
  <si>
    <t>DKN5000-XD05-STBC-XD30-92.7-1 8 1</t>
  </si>
  <si>
    <t>0516</t>
    <phoneticPr fontId="2" type="noConversion"/>
  </si>
  <si>
    <t>0518</t>
    <phoneticPr fontId="2" type="noConversion"/>
  </si>
  <si>
    <t>DKN7500-ZY01-STBC-TYY55-92-0.4 6.6 3</t>
    <phoneticPr fontId="2" type="noConversion"/>
  </si>
  <si>
    <t>c25</t>
  </si>
  <si>
    <t>C26</t>
  </si>
  <si>
    <t>C27</t>
  </si>
  <si>
    <t>C28</t>
  </si>
  <si>
    <t>c16</t>
  </si>
  <si>
    <t>C29</t>
  </si>
  <si>
    <t>C30</t>
  </si>
  <si>
    <t>C31</t>
  </si>
  <si>
    <t>C32</t>
  </si>
  <si>
    <t>DKN7500-ZY01-STBC-TYY55-92-0.4 6.6 3</t>
  </si>
  <si>
    <t>c32</t>
    <phoneticPr fontId="2" type="noConversion"/>
  </si>
  <si>
    <t>c31</t>
    <phoneticPr fontId="2" type="noConversion"/>
  </si>
  <si>
    <t>c30</t>
    <phoneticPr fontId="2" type="noConversion"/>
  </si>
  <si>
    <t>c29</t>
    <phoneticPr fontId="2" type="noConversion"/>
  </si>
  <si>
    <t>0519</t>
  </si>
  <si>
    <t>0519</t>
    <phoneticPr fontId="2" type="noConversion"/>
  </si>
  <si>
    <t>DKN5000-ZY01-STBC-TYY55-91.5-0.3 6.7 3</t>
  </si>
  <si>
    <t>c33</t>
    <phoneticPr fontId="2" type="noConversion"/>
  </si>
  <si>
    <t>c35</t>
  </si>
  <si>
    <t>DKN10000-XD05-STBC-XD30-92-0.4 8.6 1</t>
  </si>
  <si>
    <t>c34</t>
    <phoneticPr fontId="2" type="noConversion"/>
  </si>
  <si>
    <t>DKN10000-XD05-STBC-XD30-92-0.4 8.6 1</t>
    <phoneticPr fontId="2" type="noConversion"/>
  </si>
  <si>
    <t>DKN7500-XD05-STBC-XD30-92-1 8 1</t>
  </si>
  <si>
    <t>c35</t>
    <phoneticPr fontId="2" type="noConversion"/>
  </si>
  <si>
    <t>DKN7500-XD05-STBC-XD30-92-1 8 1</t>
    <phoneticPr fontId="2" type="noConversion"/>
  </si>
  <si>
    <t>DKN10000-QZ05-STBC-FeC2-92-0.4 6.6 3</t>
  </si>
  <si>
    <t>c36</t>
    <phoneticPr fontId="2" type="noConversion"/>
  </si>
  <si>
    <t>c38</t>
  </si>
  <si>
    <t>c39</t>
  </si>
  <si>
    <t>0520</t>
  </si>
  <si>
    <t>DKN5000-XD05-STBC-XD30-90-0.4 8.6 1</t>
  </si>
  <si>
    <t>c37</t>
    <phoneticPr fontId="2" type="noConversion"/>
  </si>
  <si>
    <t>DKN5000-XD05-STBC-XD30-90-0.4 8.6 1</t>
    <phoneticPr fontId="2" type="noConversion"/>
  </si>
  <si>
    <t>DKN5000-XD05-STBC-XD30-91-0.4 8.6 1</t>
  </si>
  <si>
    <t>DKN5000-XD05-STBC-XD30-91-0.4 8.6 1</t>
    <phoneticPr fontId="2" type="noConversion"/>
  </si>
  <si>
    <t>DKN5000-XD05-STBC-XD30-92-0.4 8.6 1</t>
  </si>
  <si>
    <t>DKN5000-XD05-STBC-XD30-92-0.4 8.6 1</t>
    <phoneticPr fontId="2" type="noConversion"/>
  </si>
  <si>
    <t>0520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</si>
</sst>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_);[Red]\(0.00\)"/>
    <numFmt numFmtId="177" formatCode="0.000_ "/>
  </numFmts>
  <fonts count="4" x14ac:knownFonts="1"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5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</fills>
  <borders count="1">
    <border>
      <left/>
      <right/>
      <top/>
      <bottom/>
      <diagonal/>
    </border>
  </borders>
  <cellStyleXfs count="6">
    <xf numFmtId="0" fontId="0" fillId="0" borderId="0"/>
    <xf numFmtId="0" fontId="1" fillId="2" borderId="0" applyNumberFormat="0" applyBorder="0" applyAlignment="0" applyProtection="0">
      <alignment vertical="center"/>
    </xf>
    <xf numFmtId="0" fontId="1" fillId="3" borderId="0" applyNumberFormat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  <xf numFmtId="0" fontId="1" fillId="6" borderId="0" applyNumberFormat="0" applyBorder="0" applyAlignment="0" applyProtection="0">
      <alignment vertical="center"/>
    </xf>
  </cellStyleXfs>
  <cellXfs count="39">
    <xf numFmtId="0" fontId="0" fillId="0" borderId="0" xfId="0"/>
    <xf numFmtId="0" fontId="3" fillId="2" borderId="0" xfId="1" applyFont="1" applyAlignment="1"/>
    <xf numFmtId="176" fontId="3" fillId="2" borderId="0" xfId="1" applyNumberFormat="1" applyFont="1" applyAlignment="1"/>
    <xf numFmtId="176" fontId="0" fillId="0" borderId="0" xfId="0" applyNumberFormat="1"/>
    <xf numFmtId="177" fontId="3" fillId="2" borderId="0" xfId="1" applyNumberFormat="1" applyFont="1" applyAlignment="1"/>
    <xf numFmtId="177" fontId="0" fillId="0" borderId="0" xfId="0" applyNumberFormat="1"/>
    <xf numFmtId="0" fontId="1" fillId="5" borderId="0" xfId="4" applyAlignment="1">
      <alignment vertical="center"/>
    </xf>
    <xf numFmtId="0" fontId="1" fillId="5" borderId="0" xfId="4" applyAlignment="1">
      <alignment horizontal="center" vertical="center"/>
    </xf>
    <xf numFmtId="0" fontId="1" fillId="5" borderId="0" xfId="4" applyAlignment="1"/>
    <xf numFmtId="176" fontId="1" fillId="5" borderId="0" xfId="4" applyNumberFormat="1" applyAlignment="1"/>
    <xf numFmtId="177" fontId="1" fillId="5" borderId="0" xfId="4" applyNumberFormat="1" applyAlignment="1"/>
    <xf numFmtId="49" fontId="1" fillId="5" borderId="0" xfId="4" applyNumberFormat="1" applyAlignment="1">
      <alignment vertical="center"/>
    </xf>
    <xf numFmtId="0" fontId="1" fillId="3" borderId="0" xfId="2" applyAlignment="1">
      <alignment vertical="center"/>
    </xf>
    <xf numFmtId="0" fontId="1" fillId="3" borderId="0" xfId="2" applyAlignment="1">
      <alignment horizontal="center" vertical="center"/>
    </xf>
    <xf numFmtId="0" fontId="1" fillId="3" borderId="0" xfId="2" applyAlignment="1"/>
    <xf numFmtId="176" fontId="1" fillId="3" borderId="0" xfId="2" applyNumberFormat="1" applyAlignment="1"/>
    <xf numFmtId="177" fontId="1" fillId="3" borderId="0" xfId="2" applyNumberFormat="1" applyAlignment="1"/>
    <xf numFmtId="49" fontId="1" fillId="3" borderId="0" xfId="2" applyNumberFormat="1" applyAlignment="1">
      <alignment vertical="center"/>
    </xf>
    <xf numFmtId="0" fontId="1" fillId="4" borderId="0" xfId="3" applyAlignment="1">
      <alignment vertical="center"/>
    </xf>
    <xf numFmtId="0" fontId="1" fillId="4" borderId="0" xfId="3" applyAlignment="1">
      <alignment horizontal="center" vertical="center"/>
    </xf>
    <xf numFmtId="0" fontId="1" fillId="4" borderId="0" xfId="3" applyAlignment="1"/>
    <xf numFmtId="176" fontId="1" fillId="4" borderId="0" xfId="3" applyNumberFormat="1" applyAlignment="1"/>
    <xf numFmtId="177" fontId="1" fillId="4" borderId="0" xfId="3" applyNumberFormat="1" applyAlignment="1"/>
    <xf numFmtId="49" fontId="1" fillId="4" borderId="0" xfId="3" applyNumberFormat="1" applyAlignment="1">
      <alignment vertical="center"/>
    </xf>
    <xf numFmtId="0" fontId="3" fillId="2" borderId="0" xfId="1" applyFont="1" applyAlignment="1">
      <alignment vertical="center"/>
    </xf>
    <xf numFmtId="0" fontId="1" fillId="6" borderId="0" xfId="5" applyAlignment="1"/>
    <xf numFmtId="0" fontId="1" fillId="6" borderId="0" xfId="5" applyAlignment="1">
      <alignment vertical="center"/>
    </xf>
    <xf numFmtId="176" fontId="1" fillId="6" borderId="0" xfId="5" applyNumberFormat="1" applyAlignment="1"/>
    <xf numFmtId="177" fontId="1" fillId="6" borderId="0" xfId="5" applyNumberFormat="1" applyAlignment="1"/>
    <xf numFmtId="49" fontId="1" fillId="6" borderId="0" xfId="5" applyNumberFormat="1" applyAlignment="1">
      <alignment vertical="center"/>
    </xf>
    <xf numFmtId="0" fontId="1" fillId="6" borderId="0" xfId="5" applyAlignment="1">
      <alignment horizontal="center"/>
    </xf>
    <xf numFmtId="0" fontId="1" fillId="2" borderId="0" xfId="1" applyAlignment="1">
      <alignment vertical="center"/>
    </xf>
    <xf numFmtId="0" fontId="1" fillId="2" borderId="0" xfId="1" applyAlignment="1">
      <alignment horizontal="center" vertical="center"/>
    </xf>
    <xf numFmtId="0" fontId="1" fillId="2" borderId="0" xfId="1" applyAlignment="1"/>
    <xf numFmtId="176" fontId="1" fillId="2" borderId="0" xfId="1" applyNumberFormat="1" applyAlignment="1"/>
    <xf numFmtId="177" fontId="1" fillId="2" borderId="0" xfId="1" applyNumberFormat="1" applyAlignment="1"/>
    <xf numFmtId="49" fontId="1" fillId="2" borderId="0" xfId="1" applyNumberFormat="1" applyAlignment="1">
      <alignment vertical="center"/>
    </xf>
    <xf numFmtId="0" fontId="3" fillId="0" borderId="0" xfId="4" applyFont="1" applyFill="1" applyAlignment="1">
      <alignment vertical="center"/>
    </xf>
    <xf numFmtId="0" fontId="3" fillId="0" borderId="0" xfId="0" applyFont="1"/>
  </cellXfs>
  <cellStyles count="6">
    <cellStyle name="20% - 着色 1" xfId="2" builtinId="30"/>
    <cellStyle name="20% - 着色 2" xfId="3" builtinId="34"/>
    <cellStyle name="20% - 着色 4" xfId="4" builtinId="42"/>
    <cellStyle name="20% - 着色 5" xfId="5" builtinId="46"/>
    <cellStyle name="20% - 着色 6" xfId="1" builtinId="50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161925</xdr:colOff>
      <xdr:row>0</xdr:row>
      <xdr:rowOff>123825</xdr:rowOff>
    </xdr:from>
    <xdr:to>
      <xdr:col>6</xdr:col>
      <xdr:colOff>619521</xdr:colOff>
      <xdr:row>15</xdr:row>
      <xdr:rowOff>152638</xdr:rowOff>
    </xdr:to>
    <xdr:pic>
      <xdr:nvPicPr>
        <xdr:cNvPr id="3" name="图片 2">
          <a:extLst>
            <a:ext uri="{FF2B5EF4-FFF2-40B4-BE49-F238E27FC236}">
              <a16:creationId xmlns:a16="http://schemas.microsoft.com/office/drawing/2014/main" id="{2D7321DD-81E3-4D4E-8B96-A035DF8430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1925" y="123825"/>
          <a:ext cx="4572396" cy="2743438"/>
        </a:xfrm>
        <a:prstGeom prst="rect">
          <a:avLst/>
        </a:prstGeom>
      </xdr:spPr>
    </xdr:pic>
    <xdr:clientData/>
  </xdr:twoCellAnchor>
  <xdr:twoCellAnchor editAs="oneCell">
    <xdr:from>
      <xdr:col>7</xdr:col>
      <xdr:colOff>95250</xdr:colOff>
      <xdr:row>0</xdr:row>
      <xdr:rowOff>104775</xdr:rowOff>
    </xdr:from>
    <xdr:to>
      <xdr:col>14</xdr:col>
      <xdr:colOff>476646</xdr:colOff>
      <xdr:row>16</xdr:row>
      <xdr:rowOff>44053</xdr:rowOff>
    </xdr:to>
    <xdr:pic>
      <xdr:nvPicPr>
        <xdr:cNvPr id="4" name="图片 3">
          <a:extLst>
            <a:ext uri="{FF2B5EF4-FFF2-40B4-BE49-F238E27FC236}">
              <a16:creationId xmlns:a16="http://schemas.microsoft.com/office/drawing/2014/main" id="{C03A3063-FE6A-43AE-9B97-39048AC34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895850" y="104775"/>
          <a:ext cx="5181996" cy="2834878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15</xdr:row>
      <xdr:rowOff>171450</xdr:rowOff>
    </xdr:from>
    <xdr:to>
      <xdr:col>7</xdr:col>
      <xdr:colOff>381396</xdr:colOff>
      <xdr:row>31</xdr:row>
      <xdr:rowOff>105013</xdr:rowOff>
    </xdr:to>
    <xdr:pic>
      <xdr:nvPicPr>
        <xdr:cNvPr id="5" name="图片 4">
          <a:extLst>
            <a:ext uri="{FF2B5EF4-FFF2-40B4-BE49-F238E27FC236}">
              <a16:creationId xmlns:a16="http://schemas.microsoft.com/office/drawing/2014/main" id="{CAA44322-4F71-4E73-B949-B61D41BF59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2886075"/>
          <a:ext cx="5181996" cy="2829163"/>
        </a:xfrm>
        <a:prstGeom prst="rect">
          <a:avLst/>
        </a:prstGeom>
      </xdr:spPr>
    </xdr:pic>
    <xdr:clientData/>
  </xdr:twoCellAnchor>
  <xdr:twoCellAnchor editAs="oneCell">
    <xdr:from>
      <xdr:col>8</xdr:col>
      <xdr:colOff>83820</xdr:colOff>
      <xdr:row>16</xdr:row>
      <xdr:rowOff>20955</xdr:rowOff>
    </xdr:from>
    <xdr:to>
      <xdr:col>15</xdr:col>
      <xdr:colOff>465216</xdr:colOff>
      <xdr:row>31</xdr:row>
      <xdr:rowOff>135493</xdr:rowOff>
    </xdr:to>
    <xdr:pic>
      <xdr:nvPicPr>
        <xdr:cNvPr id="6" name="图片 5">
          <a:extLst>
            <a:ext uri="{FF2B5EF4-FFF2-40B4-BE49-F238E27FC236}">
              <a16:creationId xmlns:a16="http://schemas.microsoft.com/office/drawing/2014/main" id="{C163D8FA-7372-42B8-A242-8A4EA3F5BE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570220" y="2916555"/>
          <a:ext cx="5181996" cy="2829163"/>
        </a:xfrm>
        <a:prstGeom prst="rect">
          <a:avLst/>
        </a:prstGeom>
      </xdr:spPr>
    </xdr:pic>
    <xdr:clientData/>
  </xdr:twoCellAnchor>
  <xdr:twoCellAnchor editAs="oneCell">
    <xdr:from>
      <xdr:col>0</xdr:col>
      <xdr:colOff>152401</xdr:colOff>
      <xdr:row>33</xdr:row>
      <xdr:rowOff>0</xdr:rowOff>
    </xdr:from>
    <xdr:to>
      <xdr:col>7</xdr:col>
      <xdr:colOff>479226</xdr:colOff>
      <xdr:row>46</xdr:row>
      <xdr:rowOff>115429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F81705DB-070C-45FF-A99D-E0ABA23AF3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52401" y="5972175"/>
          <a:ext cx="5127425" cy="2468104"/>
        </a:xfrm>
        <a:prstGeom prst="rect">
          <a:avLst/>
        </a:prstGeom>
      </xdr:spPr>
    </xdr:pic>
    <xdr:clientData/>
  </xdr:twoCellAnchor>
  <xdr:twoCellAnchor editAs="oneCell">
    <xdr:from>
      <xdr:col>8</xdr:col>
      <xdr:colOff>165804</xdr:colOff>
      <xdr:row>32</xdr:row>
      <xdr:rowOff>171450</xdr:rowOff>
    </xdr:from>
    <xdr:to>
      <xdr:col>15</xdr:col>
      <xdr:colOff>205005</xdr:colOff>
      <xdr:row>46</xdr:row>
      <xdr:rowOff>28584</xdr:rowOff>
    </xdr:to>
    <xdr:pic>
      <xdr:nvPicPr>
        <xdr:cNvPr id="7" name="图片 6">
          <a:extLst>
            <a:ext uri="{FF2B5EF4-FFF2-40B4-BE49-F238E27FC236}">
              <a16:creationId xmlns:a16="http://schemas.microsoft.com/office/drawing/2014/main" id="{3C6D4A81-7E9A-43AB-BD53-3BD7F38815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5652204" y="5962650"/>
          <a:ext cx="4839801" cy="239078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87"/>
  <sheetViews>
    <sheetView tabSelected="1" topLeftCell="A160" zoomScale="115" zoomScaleNormal="115" workbookViewId="0">
      <selection activeCell="G178" sqref="G178"/>
    </sheetView>
  </sheetViews>
  <sheetFormatPr defaultRowHeight="14.25" x14ac:dyDescent="0.2"/>
  <cols>
    <col min="1" max="2" width="39.875" customWidth="1"/>
    <col min="4" max="4" width="11.25" customWidth="1"/>
    <col min="6" max="6" width="9" style="3"/>
    <col min="7" max="7" width="11.625" customWidth="1"/>
    <col min="8" max="8" width="14.75" style="5" customWidth="1"/>
    <col min="9" max="9" width="10" bestFit="1" customWidth="1"/>
  </cols>
  <sheetData>
    <row r="1" spans="1:9" x14ac:dyDescent="0.2">
      <c r="A1" s="1" t="s">
        <v>12</v>
      </c>
      <c r="B1" s="24" t="s">
        <v>13</v>
      </c>
      <c r="C1" s="1" t="s">
        <v>0</v>
      </c>
      <c r="D1" s="1" t="s">
        <v>1</v>
      </c>
      <c r="E1" s="1" t="s">
        <v>2</v>
      </c>
      <c r="F1" s="2" t="s">
        <v>3</v>
      </c>
      <c r="G1" s="1" t="s">
        <v>4</v>
      </c>
      <c r="H1" s="4" t="s">
        <v>5</v>
      </c>
      <c r="I1" s="1" t="s">
        <v>6</v>
      </c>
    </row>
    <row r="2" spans="1:9" x14ac:dyDescent="0.2">
      <c r="A2" s="6" t="s">
        <v>15</v>
      </c>
      <c r="B2" s="7" t="s">
        <v>16</v>
      </c>
      <c r="C2" s="6" t="s">
        <v>32</v>
      </c>
      <c r="D2" s="6">
        <v>60</v>
      </c>
      <c r="E2" s="8">
        <v>0</v>
      </c>
      <c r="F2" s="9">
        <v>0</v>
      </c>
      <c r="G2" s="8">
        <v>69</v>
      </c>
      <c r="H2" s="10">
        <f t="shared" ref="H2:H33" si="0">G2/1000*0.318319</f>
        <v>2.1964011000000002E-2</v>
      </c>
      <c r="I2" s="11" t="s">
        <v>33</v>
      </c>
    </row>
    <row r="3" spans="1:9" x14ac:dyDescent="0.2">
      <c r="A3" s="6" t="s">
        <v>15</v>
      </c>
      <c r="B3" s="7" t="s">
        <v>16</v>
      </c>
      <c r="C3" s="6" t="s">
        <v>32</v>
      </c>
      <c r="D3" s="6">
        <v>60</v>
      </c>
      <c r="E3" s="8">
        <v>2</v>
      </c>
      <c r="F3" s="9">
        <v>0.28000000000000003</v>
      </c>
      <c r="G3" s="8">
        <v>111</v>
      </c>
      <c r="H3" s="10">
        <f t="shared" si="0"/>
        <v>3.5333409000000003E-2</v>
      </c>
      <c r="I3" s="11" t="s">
        <v>33</v>
      </c>
    </row>
    <row r="4" spans="1:9" x14ac:dyDescent="0.2">
      <c r="A4" s="6" t="s">
        <v>15</v>
      </c>
      <c r="B4" s="7" t="s">
        <v>16</v>
      </c>
      <c r="C4" s="6" t="s">
        <v>32</v>
      </c>
      <c r="D4" s="6">
        <v>60</v>
      </c>
      <c r="E4" s="8">
        <v>4</v>
      </c>
      <c r="F4" s="9">
        <v>0.55000000000000004</v>
      </c>
      <c r="G4" s="8">
        <v>271</v>
      </c>
      <c r="H4" s="10">
        <f t="shared" si="0"/>
        <v>8.6264449000000007E-2</v>
      </c>
      <c r="I4" s="11" t="s">
        <v>33</v>
      </c>
    </row>
    <row r="5" spans="1:9" x14ac:dyDescent="0.2">
      <c r="A5" s="6" t="s">
        <v>15</v>
      </c>
      <c r="B5" s="7" t="s">
        <v>16</v>
      </c>
      <c r="C5" s="6" t="s">
        <v>32</v>
      </c>
      <c r="D5" s="6">
        <v>60</v>
      </c>
      <c r="E5" s="8">
        <v>6</v>
      </c>
      <c r="F5" s="9">
        <v>0.77</v>
      </c>
      <c r="G5" s="8">
        <v>394</v>
      </c>
      <c r="H5" s="10">
        <f t="shared" si="0"/>
        <v>0.125417686</v>
      </c>
      <c r="I5" s="11" t="s">
        <v>33</v>
      </c>
    </row>
    <row r="6" spans="1:9" x14ac:dyDescent="0.2">
      <c r="A6" s="6" t="s">
        <v>15</v>
      </c>
      <c r="B6" s="7" t="s">
        <v>16</v>
      </c>
      <c r="C6" s="6" t="s">
        <v>32</v>
      </c>
      <c r="D6" s="6">
        <v>60</v>
      </c>
      <c r="E6" s="8">
        <v>8</v>
      </c>
      <c r="F6" s="9">
        <v>0.88</v>
      </c>
      <c r="G6" s="8">
        <v>435</v>
      </c>
      <c r="H6" s="10">
        <f t="shared" si="0"/>
        <v>0.13846876499999999</v>
      </c>
      <c r="I6" s="11" t="s">
        <v>33</v>
      </c>
    </row>
    <row r="7" spans="1:9" x14ac:dyDescent="0.2">
      <c r="A7" s="6" t="s">
        <v>15</v>
      </c>
      <c r="B7" s="7" t="s">
        <v>16</v>
      </c>
      <c r="C7" s="6" t="s">
        <v>32</v>
      </c>
      <c r="D7" s="6">
        <v>60</v>
      </c>
      <c r="E7" s="8">
        <v>10</v>
      </c>
      <c r="F7" s="9">
        <v>0.93</v>
      </c>
      <c r="G7" s="8">
        <v>480</v>
      </c>
      <c r="H7" s="10">
        <f t="shared" si="0"/>
        <v>0.15279312</v>
      </c>
      <c r="I7" s="11" t="s">
        <v>33</v>
      </c>
    </row>
    <row r="8" spans="1:9" x14ac:dyDescent="0.2">
      <c r="A8" s="18" t="s">
        <v>15</v>
      </c>
      <c r="B8" s="19" t="s">
        <v>17</v>
      </c>
      <c r="C8" s="18" t="s">
        <v>7</v>
      </c>
      <c r="D8" s="18">
        <v>60</v>
      </c>
      <c r="E8" s="20">
        <v>0</v>
      </c>
      <c r="F8" s="21">
        <v>0</v>
      </c>
      <c r="G8" s="20">
        <v>100</v>
      </c>
      <c r="H8" s="22">
        <f t="shared" si="0"/>
        <v>3.1831900000000003E-2</v>
      </c>
      <c r="I8" s="23" t="s">
        <v>8</v>
      </c>
    </row>
    <row r="9" spans="1:9" x14ac:dyDescent="0.2">
      <c r="A9" s="18" t="s">
        <v>15</v>
      </c>
      <c r="B9" s="19" t="s">
        <v>17</v>
      </c>
      <c r="C9" s="18" t="s">
        <v>7</v>
      </c>
      <c r="D9" s="18">
        <v>60</v>
      </c>
      <c r="E9" s="20">
        <v>2</v>
      </c>
      <c r="F9" s="21">
        <v>0.3</v>
      </c>
      <c r="G9" s="20">
        <v>244</v>
      </c>
      <c r="H9" s="22">
        <f t="shared" si="0"/>
        <v>7.7669836000000006E-2</v>
      </c>
      <c r="I9" s="23" t="s">
        <v>8</v>
      </c>
    </row>
    <row r="10" spans="1:9" x14ac:dyDescent="0.2">
      <c r="A10" s="18" t="s">
        <v>15</v>
      </c>
      <c r="B10" s="19" t="s">
        <v>16</v>
      </c>
      <c r="C10" s="18" t="s">
        <v>18</v>
      </c>
      <c r="D10" s="18">
        <v>60</v>
      </c>
      <c r="E10" s="20">
        <v>4</v>
      </c>
      <c r="F10" s="21">
        <v>0.56999999999999995</v>
      </c>
      <c r="G10" s="20">
        <v>526</v>
      </c>
      <c r="H10" s="22">
        <f t="shared" si="0"/>
        <v>0.16743579400000003</v>
      </c>
      <c r="I10" s="23" t="s">
        <v>23</v>
      </c>
    </row>
    <row r="11" spans="1:9" x14ac:dyDescent="0.2">
      <c r="A11" s="18" t="s">
        <v>15</v>
      </c>
      <c r="B11" s="19" t="s">
        <v>16</v>
      </c>
      <c r="C11" s="18" t="s">
        <v>18</v>
      </c>
      <c r="D11" s="18">
        <v>60</v>
      </c>
      <c r="E11" s="20">
        <v>6</v>
      </c>
      <c r="F11" s="21">
        <v>0.79</v>
      </c>
      <c r="G11" s="20">
        <v>707</v>
      </c>
      <c r="H11" s="22">
        <f t="shared" si="0"/>
        <v>0.225051533</v>
      </c>
      <c r="I11" s="23" t="s">
        <v>23</v>
      </c>
    </row>
    <row r="12" spans="1:9" x14ac:dyDescent="0.2">
      <c r="A12" s="18" t="s">
        <v>15</v>
      </c>
      <c r="B12" s="19" t="s">
        <v>16</v>
      </c>
      <c r="C12" s="18" t="s">
        <v>18</v>
      </c>
      <c r="D12" s="18">
        <v>60</v>
      </c>
      <c r="E12" s="20">
        <v>8</v>
      </c>
      <c r="F12" s="21">
        <v>0.91</v>
      </c>
      <c r="G12" s="20">
        <v>809</v>
      </c>
      <c r="H12" s="22">
        <f t="shared" si="0"/>
        <v>0.25752007100000002</v>
      </c>
      <c r="I12" s="23" t="s">
        <v>23</v>
      </c>
    </row>
    <row r="13" spans="1:9" x14ac:dyDescent="0.2">
      <c r="A13" s="18" t="s">
        <v>15</v>
      </c>
      <c r="B13" s="19" t="s">
        <v>16</v>
      </c>
      <c r="C13" s="18" t="s">
        <v>18</v>
      </c>
      <c r="D13" s="18">
        <v>60</v>
      </c>
      <c r="E13" s="20">
        <v>10</v>
      </c>
      <c r="F13" s="21">
        <v>0.98</v>
      </c>
      <c r="G13" s="20">
        <v>894</v>
      </c>
      <c r="H13" s="22">
        <f t="shared" si="0"/>
        <v>0.28457718600000004</v>
      </c>
      <c r="I13" s="23" t="s">
        <v>23</v>
      </c>
    </row>
    <row r="14" spans="1:9" x14ac:dyDescent="0.2">
      <c r="A14" s="12" t="s">
        <v>14</v>
      </c>
      <c r="B14" s="13" t="s">
        <v>16</v>
      </c>
      <c r="C14" s="12" t="s">
        <v>9</v>
      </c>
      <c r="D14" s="12">
        <v>60</v>
      </c>
      <c r="E14" s="14">
        <v>0</v>
      </c>
      <c r="F14" s="15">
        <v>0</v>
      </c>
      <c r="G14" s="14">
        <v>85</v>
      </c>
      <c r="H14" s="16">
        <f t="shared" si="0"/>
        <v>2.7057115000000003E-2</v>
      </c>
      <c r="I14" s="17" t="s">
        <v>10</v>
      </c>
    </row>
    <row r="15" spans="1:9" x14ac:dyDescent="0.2">
      <c r="A15" s="12" t="s">
        <v>14</v>
      </c>
      <c r="B15" s="13" t="s">
        <v>16</v>
      </c>
      <c r="C15" s="12" t="s">
        <v>9</v>
      </c>
      <c r="D15" s="12">
        <v>60</v>
      </c>
      <c r="E15" s="14">
        <v>2</v>
      </c>
      <c r="F15" s="15">
        <v>0.28999999999999998</v>
      </c>
      <c r="G15" s="14">
        <v>116</v>
      </c>
      <c r="H15" s="16">
        <f t="shared" si="0"/>
        <v>3.6925004000000004E-2</v>
      </c>
      <c r="I15" s="17" t="s">
        <v>10</v>
      </c>
    </row>
    <row r="16" spans="1:9" x14ac:dyDescent="0.2">
      <c r="A16" s="12" t="s">
        <v>14</v>
      </c>
      <c r="B16" s="13" t="s">
        <v>16</v>
      </c>
      <c r="C16" s="12" t="s">
        <v>19</v>
      </c>
      <c r="D16" s="12">
        <v>60</v>
      </c>
      <c r="E16" s="14">
        <v>4</v>
      </c>
      <c r="F16" s="15">
        <v>0.56999999999999995</v>
      </c>
      <c r="G16" s="14">
        <v>413</v>
      </c>
      <c r="H16" s="16">
        <f t="shared" si="0"/>
        <v>0.13146574699999999</v>
      </c>
      <c r="I16" s="17" t="s">
        <v>24</v>
      </c>
    </row>
    <row r="17" spans="1:9" x14ac:dyDescent="0.2">
      <c r="A17" s="12" t="s">
        <v>15</v>
      </c>
      <c r="B17" s="13" t="s">
        <v>16</v>
      </c>
      <c r="C17" s="12" t="s">
        <v>19</v>
      </c>
      <c r="D17" s="12">
        <v>60</v>
      </c>
      <c r="E17" s="14">
        <v>6</v>
      </c>
      <c r="F17" s="15">
        <v>0.79</v>
      </c>
      <c r="G17" s="14">
        <v>676</v>
      </c>
      <c r="H17" s="16">
        <f t="shared" si="0"/>
        <v>0.21518364400000004</v>
      </c>
      <c r="I17" s="17" t="s">
        <v>24</v>
      </c>
    </row>
    <row r="18" spans="1:9" x14ac:dyDescent="0.2">
      <c r="A18" s="12" t="s">
        <v>15</v>
      </c>
      <c r="B18" s="13" t="s">
        <v>16</v>
      </c>
      <c r="C18" s="12" t="s">
        <v>19</v>
      </c>
      <c r="D18" s="12">
        <v>60</v>
      </c>
      <c r="E18" s="14">
        <v>8</v>
      </c>
      <c r="F18" s="15">
        <v>0.9</v>
      </c>
      <c r="G18" s="14">
        <v>785</v>
      </c>
      <c r="H18" s="16">
        <f t="shared" si="0"/>
        <v>0.24988041500000002</v>
      </c>
      <c r="I18" s="17" t="s">
        <v>24</v>
      </c>
    </row>
    <row r="19" spans="1:9" x14ac:dyDescent="0.2">
      <c r="A19" s="12" t="s">
        <v>15</v>
      </c>
      <c r="B19" s="13" t="s">
        <v>16</v>
      </c>
      <c r="C19" s="12" t="s">
        <v>19</v>
      </c>
      <c r="D19" s="12">
        <v>60</v>
      </c>
      <c r="E19" s="14">
        <v>10</v>
      </c>
      <c r="F19" s="15">
        <v>0.97</v>
      </c>
      <c r="G19" s="14">
        <v>850</v>
      </c>
      <c r="H19" s="16">
        <f t="shared" si="0"/>
        <v>0.27057114999999998</v>
      </c>
      <c r="I19" s="17" t="s">
        <v>24</v>
      </c>
    </row>
    <row r="20" spans="1:9" x14ac:dyDescent="0.2">
      <c r="A20" s="31" t="s">
        <v>20</v>
      </c>
      <c r="B20" s="32" t="s">
        <v>22</v>
      </c>
      <c r="C20" s="31" t="s">
        <v>27</v>
      </c>
      <c r="D20" s="31">
        <v>60</v>
      </c>
      <c r="E20" s="33">
        <v>0</v>
      </c>
      <c r="F20" s="34">
        <v>0</v>
      </c>
      <c r="G20" s="33">
        <v>8</v>
      </c>
      <c r="H20" s="35">
        <f t="shared" si="0"/>
        <v>2.5465520000000001E-3</v>
      </c>
      <c r="I20" s="36" t="s">
        <v>11</v>
      </c>
    </row>
    <row r="21" spans="1:9" x14ac:dyDescent="0.2">
      <c r="A21" s="31" t="s">
        <v>20</v>
      </c>
      <c r="B21" s="32" t="s">
        <v>22</v>
      </c>
      <c r="C21" s="31" t="s">
        <v>27</v>
      </c>
      <c r="D21" s="31">
        <v>60</v>
      </c>
      <c r="E21" s="33">
        <v>2</v>
      </c>
      <c r="F21" s="34">
        <v>0.28999999999999998</v>
      </c>
      <c r="G21" s="33">
        <v>44</v>
      </c>
      <c r="H21" s="35">
        <f t="shared" si="0"/>
        <v>1.4006035999999999E-2</v>
      </c>
      <c r="I21" s="36" t="s">
        <v>11</v>
      </c>
    </row>
    <row r="22" spans="1:9" x14ac:dyDescent="0.2">
      <c r="A22" s="31" t="s">
        <v>20</v>
      </c>
      <c r="B22" s="32" t="s">
        <v>21</v>
      </c>
      <c r="C22" s="31" t="s">
        <v>30</v>
      </c>
      <c r="D22" s="31">
        <v>60</v>
      </c>
      <c r="E22" s="33">
        <v>4</v>
      </c>
      <c r="F22" s="34">
        <v>0.56999999999999995</v>
      </c>
      <c r="G22" s="33">
        <v>317</v>
      </c>
      <c r="H22" s="35">
        <f t="shared" si="0"/>
        <v>0.100907123</v>
      </c>
      <c r="I22" s="36" t="s">
        <v>25</v>
      </c>
    </row>
    <row r="23" spans="1:9" x14ac:dyDescent="0.2">
      <c r="A23" s="31" t="s">
        <v>20</v>
      </c>
      <c r="B23" s="32" t="s">
        <v>21</v>
      </c>
      <c r="C23" s="31" t="s">
        <v>30</v>
      </c>
      <c r="D23" s="31">
        <v>60</v>
      </c>
      <c r="E23" s="33">
        <v>6</v>
      </c>
      <c r="F23" s="34">
        <v>0.79</v>
      </c>
      <c r="G23" s="33">
        <v>465</v>
      </c>
      <c r="H23" s="35">
        <f t="shared" si="0"/>
        <v>0.14801833500000003</v>
      </c>
      <c r="I23" s="36" t="s">
        <v>25</v>
      </c>
    </row>
    <row r="24" spans="1:9" x14ac:dyDescent="0.2">
      <c r="A24" s="31" t="s">
        <v>20</v>
      </c>
      <c r="B24" s="32" t="s">
        <v>21</v>
      </c>
      <c r="C24" s="31" t="s">
        <v>30</v>
      </c>
      <c r="D24" s="31">
        <v>60</v>
      </c>
      <c r="E24" s="33">
        <v>8</v>
      </c>
      <c r="F24" s="34">
        <v>0.89</v>
      </c>
      <c r="G24" s="33">
        <v>531</v>
      </c>
      <c r="H24" s="35">
        <f t="shared" si="0"/>
        <v>0.16902738900000003</v>
      </c>
      <c r="I24" s="36" t="s">
        <v>25</v>
      </c>
    </row>
    <row r="25" spans="1:9" x14ac:dyDescent="0.2">
      <c r="A25" s="31" t="s">
        <v>20</v>
      </c>
      <c r="B25" s="32" t="s">
        <v>21</v>
      </c>
      <c r="C25" s="31" t="s">
        <v>30</v>
      </c>
      <c r="D25" s="31">
        <v>60</v>
      </c>
      <c r="E25" s="33">
        <v>10</v>
      </c>
      <c r="F25" s="34">
        <v>0.96</v>
      </c>
      <c r="G25" s="33">
        <v>576</v>
      </c>
      <c r="H25" s="35">
        <f t="shared" si="0"/>
        <v>0.18335174399999998</v>
      </c>
      <c r="I25" s="36" t="s">
        <v>25</v>
      </c>
    </row>
    <row r="26" spans="1:9" x14ac:dyDescent="0.2">
      <c r="A26" s="6" t="s">
        <v>20</v>
      </c>
      <c r="B26" s="7" t="s">
        <v>21</v>
      </c>
      <c r="C26" s="6" t="s">
        <v>7</v>
      </c>
      <c r="D26" s="6">
        <v>60</v>
      </c>
      <c r="E26" s="8">
        <v>0</v>
      </c>
      <c r="F26" s="9">
        <v>0</v>
      </c>
      <c r="G26" s="8">
        <v>15</v>
      </c>
      <c r="H26" s="10">
        <f t="shared" si="0"/>
        <v>4.7747850000000001E-3</v>
      </c>
      <c r="I26" s="11" t="s">
        <v>11</v>
      </c>
    </row>
    <row r="27" spans="1:9" x14ac:dyDescent="0.2">
      <c r="A27" s="6" t="s">
        <v>20</v>
      </c>
      <c r="B27" s="7" t="s">
        <v>21</v>
      </c>
      <c r="C27" s="6" t="s">
        <v>7</v>
      </c>
      <c r="D27" s="6">
        <v>60</v>
      </c>
      <c r="E27" s="8">
        <v>2</v>
      </c>
      <c r="F27" s="9">
        <v>0.28000000000000003</v>
      </c>
      <c r="G27" s="8">
        <v>277</v>
      </c>
      <c r="H27" s="10">
        <f t="shared" si="0"/>
        <v>8.8174363000000019E-2</v>
      </c>
      <c r="I27" s="11" t="s">
        <v>11</v>
      </c>
    </row>
    <row r="28" spans="1:9" x14ac:dyDescent="0.2">
      <c r="A28" s="6" t="s">
        <v>20</v>
      </c>
      <c r="B28" s="7" t="s">
        <v>21</v>
      </c>
      <c r="C28" s="6" t="s">
        <v>18</v>
      </c>
      <c r="D28" s="6">
        <v>60</v>
      </c>
      <c r="E28" s="8">
        <v>4</v>
      </c>
      <c r="F28" s="9">
        <v>0.57999999999999996</v>
      </c>
      <c r="G28" s="8">
        <v>544</v>
      </c>
      <c r="H28" s="10">
        <f t="shared" si="0"/>
        <v>0.17316553600000001</v>
      </c>
      <c r="I28" s="11" t="s">
        <v>25</v>
      </c>
    </row>
    <row r="29" spans="1:9" x14ac:dyDescent="0.2">
      <c r="A29" s="6" t="s">
        <v>20</v>
      </c>
      <c r="B29" s="7" t="s">
        <v>21</v>
      </c>
      <c r="C29" s="6" t="s">
        <v>18</v>
      </c>
      <c r="D29" s="6">
        <v>60</v>
      </c>
      <c r="E29" s="8">
        <v>6</v>
      </c>
      <c r="F29" s="9">
        <v>0.81</v>
      </c>
      <c r="G29" s="8">
        <v>701</v>
      </c>
      <c r="H29" s="10">
        <f t="shared" si="0"/>
        <v>0.22314161899999999</v>
      </c>
      <c r="I29" s="11" t="s">
        <v>25</v>
      </c>
    </row>
    <row r="30" spans="1:9" x14ac:dyDescent="0.2">
      <c r="A30" s="6" t="s">
        <v>20</v>
      </c>
      <c r="B30" s="7" t="s">
        <v>21</v>
      </c>
      <c r="C30" s="6" t="s">
        <v>18</v>
      </c>
      <c r="D30" s="6">
        <v>60</v>
      </c>
      <c r="E30" s="8">
        <v>8</v>
      </c>
      <c r="F30" s="9">
        <v>0.92</v>
      </c>
      <c r="G30" s="8">
        <v>755</v>
      </c>
      <c r="H30" s="10">
        <f t="shared" si="0"/>
        <v>0.24033084500000002</v>
      </c>
      <c r="I30" s="11" t="s">
        <v>25</v>
      </c>
    </row>
    <row r="31" spans="1:9" x14ac:dyDescent="0.2">
      <c r="A31" s="6" t="s">
        <v>20</v>
      </c>
      <c r="B31" s="7" t="s">
        <v>21</v>
      </c>
      <c r="C31" s="6" t="s">
        <v>18</v>
      </c>
      <c r="D31" s="6">
        <v>60</v>
      </c>
      <c r="E31" s="8">
        <v>10</v>
      </c>
      <c r="F31" s="9">
        <v>0.98</v>
      </c>
      <c r="G31" s="8">
        <v>799</v>
      </c>
      <c r="H31" s="10">
        <f t="shared" si="0"/>
        <v>0.25433688100000001</v>
      </c>
      <c r="I31" s="11" t="s">
        <v>25</v>
      </c>
    </row>
    <row r="32" spans="1:9" x14ac:dyDescent="0.2">
      <c r="A32" s="18" t="s">
        <v>44</v>
      </c>
      <c r="B32" s="19" t="s">
        <v>26</v>
      </c>
      <c r="C32" s="18" t="s">
        <v>27</v>
      </c>
      <c r="D32" s="18">
        <v>60</v>
      </c>
      <c r="E32" s="20">
        <v>0</v>
      </c>
      <c r="F32" s="21">
        <v>0</v>
      </c>
      <c r="G32" s="18">
        <v>-33</v>
      </c>
      <c r="H32" s="22">
        <f t="shared" si="0"/>
        <v>-1.0504527000000001E-2</v>
      </c>
      <c r="I32" s="23" t="s">
        <v>28</v>
      </c>
    </row>
    <row r="33" spans="1:9" x14ac:dyDescent="0.2">
      <c r="A33" s="18" t="s">
        <v>44</v>
      </c>
      <c r="B33" s="19" t="s">
        <v>26</v>
      </c>
      <c r="C33" s="18" t="s">
        <v>27</v>
      </c>
      <c r="D33" s="18">
        <v>60</v>
      </c>
      <c r="E33" s="20">
        <v>2</v>
      </c>
      <c r="F33" s="21">
        <v>0.28000000000000003</v>
      </c>
      <c r="G33" s="20">
        <v>311</v>
      </c>
      <c r="H33" s="22">
        <f t="shared" si="0"/>
        <v>9.8997209000000003E-2</v>
      </c>
      <c r="I33" s="23" t="s">
        <v>28</v>
      </c>
    </row>
    <row r="34" spans="1:9" x14ac:dyDescent="0.2">
      <c r="A34" s="18" t="s">
        <v>44</v>
      </c>
      <c r="B34" s="19" t="s">
        <v>29</v>
      </c>
      <c r="C34" s="18" t="s">
        <v>30</v>
      </c>
      <c r="D34" s="18">
        <v>60</v>
      </c>
      <c r="E34" s="20">
        <v>4</v>
      </c>
      <c r="F34" s="21">
        <v>0.55000000000000004</v>
      </c>
      <c r="G34" s="20">
        <v>616</v>
      </c>
      <c r="H34" s="22">
        <f t="shared" ref="H34:H65" si="1">G34/1000*0.318319</f>
        <v>0.19608450400000002</v>
      </c>
      <c r="I34" s="23" t="s">
        <v>31</v>
      </c>
    </row>
    <row r="35" spans="1:9" x14ac:dyDescent="0.2">
      <c r="A35" s="18" t="s">
        <v>44</v>
      </c>
      <c r="B35" s="19" t="s">
        <v>29</v>
      </c>
      <c r="C35" s="18" t="s">
        <v>30</v>
      </c>
      <c r="D35" s="18">
        <v>60</v>
      </c>
      <c r="E35" s="20">
        <v>6</v>
      </c>
      <c r="F35" s="21">
        <v>0.78</v>
      </c>
      <c r="G35" s="20">
        <v>899</v>
      </c>
      <c r="H35" s="22">
        <f t="shared" si="1"/>
        <v>0.28616878100000004</v>
      </c>
      <c r="I35" s="23" t="s">
        <v>31</v>
      </c>
    </row>
    <row r="36" spans="1:9" x14ac:dyDescent="0.2">
      <c r="A36" s="18" t="s">
        <v>44</v>
      </c>
      <c r="B36" s="19" t="s">
        <v>26</v>
      </c>
      <c r="C36" s="18" t="s">
        <v>30</v>
      </c>
      <c r="D36" s="18">
        <v>60</v>
      </c>
      <c r="E36" s="20">
        <v>8</v>
      </c>
      <c r="F36" s="21">
        <v>0.89</v>
      </c>
      <c r="G36" s="20">
        <v>950</v>
      </c>
      <c r="H36" s="22">
        <f t="shared" si="1"/>
        <v>0.30240305000000001</v>
      </c>
      <c r="I36" s="23" t="s">
        <v>31</v>
      </c>
    </row>
    <row r="37" spans="1:9" x14ac:dyDescent="0.2">
      <c r="A37" s="18" t="s">
        <v>44</v>
      </c>
      <c r="B37" s="19" t="s">
        <v>29</v>
      </c>
      <c r="C37" s="18" t="s">
        <v>30</v>
      </c>
      <c r="D37" s="18">
        <v>60</v>
      </c>
      <c r="E37" s="20">
        <v>10</v>
      </c>
      <c r="F37" s="21">
        <v>0.96</v>
      </c>
      <c r="G37" s="20">
        <v>1100</v>
      </c>
      <c r="H37" s="22">
        <f t="shared" si="1"/>
        <v>0.35015090000000004</v>
      </c>
      <c r="I37" s="23" t="s">
        <v>31</v>
      </c>
    </row>
    <row r="38" spans="1:9" x14ac:dyDescent="0.2">
      <c r="A38" s="31" t="s">
        <v>15</v>
      </c>
      <c r="B38" s="32" t="s">
        <v>16</v>
      </c>
      <c r="C38" s="31" t="s">
        <v>30</v>
      </c>
      <c r="D38" s="31">
        <v>60</v>
      </c>
      <c r="E38" s="33">
        <v>0</v>
      </c>
      <c r="F38" s="34">
        <v>0</v>
      </c>
      <c r="G38" s="33">
        <v>57</v>
      </c>
      <c r="H38" s="35">
        <f t="shared" si="1"/>
        <v>1.8144183000000001E-2</v>
      </c>
      <c r="I38" s="36" t="s">
        <v>31</v>
      </c>
    </row>
    <row r="39" spans="1:9" x14ac:dyDescent="0.2">
      <c r="A39" s="31" t="s">
        <v>15</v>
      </c>
      <c r="B39" s="32" t="s">
        <v>16</v>
      </c>
      <c r="C39" s="31" t="s">
        <v>30</v>
      </c>
      <c r="D39" s="31">
        <v>60</v>
      </c>
      <c r="E39" s="33">
        <v>2</v>
      </c>
      <c r="F39" s="34">
        <v>0.27</v>
      </c>
      <c r="G39" s="33">
        <v>72</v>
      </c>
      <c r="H39" s="35">
        <f t="shared" si="1"/>
        <v>2.2918967999999998E-2</v>
      </c>
      <c r="I39" s="36" t="s">
        <v>31</v>
      </c>
    </row>
    <row r="40" spans="1:9" x14ac:dyDescent="0.2">
      <c r="A40" s="31" t="s">
        <v>15</v>
      </c>
      <c r="B40" s="32" t="s">
        <v>16</v>
      </c>
      <c r="C40" s="31" t="s">
        <v>30</v>
      </c>
      <c r="D40" s="31">
        <v>60</v>
      </c>
      <c r="E40" s="33">
        <v>4</v>
      </c>
      <c r="F40" s="34">
        <v>0.53</v>
      </c>
      <c r="G40" s="33">
        <v>255</v>
      </c>
      <c r="H40" s="35">
        <f t="shared" si="1"/>
        <v>8.1171345000000006E-2</v>
      </c>
      <c r="I40" s="36" t="s">
        <v>31</v>
      </c>
    </row>
    <row r="41" spans="1:9" x14ac:dyDescent="0.2">
      <c r="A41" s="31" t="s">
        <v>15</v>
      </c>
      <c r="B41" s="32" t="s">
        <v>16</v>
      </c>
      <c r="C41" s="31" t="s">
        <v>27</v>
      </c>
      <c r="D41" s="31">
        <v>60</v>
      </c>
      <c r="E41" s="33">
        <v>6</v>
      </c>
      <c r="F41" s="34">
        <v>0.75</v>
      </c>
      <c r="G41" s="33">
        <v>424</v>
      </c>
      <c r="H41" s="35">
        <f t="shared" si="1"/>
        <v>0.13496725600000001</v>
      </c>
      <c r="I41" s="36" t="s">
        <v>31</v>
      </c>
    </row>
    <row r="42" spans="1:9" x14ac:dyDescent="0.2">
      <c r="A42" s="31" t="s">
        <v>15</v>
      </c>
      <c r="B42" s="32" t="s">
        <v>16</v>
      </c>
      <c r="C42" s="31" t="s">
        <v>30</v>
      </c>
      <c r="D42" s="31">
        <v>60</v>
      </c>
      <c r="E42" s="33">
        <v>8</v>
      </c>
      <c r="F42" s="34">
        <v>0.87</v>
      </c>
      <c r="G42" s="33">
        <v>483</v>
      </c>
      <c r="H42" s="35">
        <f t="shared" si="1"/>
        <v>0.15374807700000001</v>
      </c>
      <c r="I42" s="36" t="s">
        <v>31</v>
      </c>
    </row>
    <row r="43" spans="1:9" x14ac:dyDescent="0.2">
      <c r="A43" s="31" t="s">
        <v>15</v>
      </c>
      <c r="B43" s="32" t="s">
        <v>16</v>
      </c>
      <c r="C43" s="31" t="s">
        <v>30</v>
      </c>
      <c r="D43" s="31">
        <v>60</v>
      </c>
      <c r="E43" s="33">
        <v>10</v>
      </c>
      <c r="F43" s="34">
        <v>0.93</v>
      </c>
      <c r="G43" s="33">
        <v>536</v>
      </c>
      <c r="H43" s="35">
        <f t="shared" si="1"/>
        <v>0.17061898400000003</v>
      </c>
      <c r="I43" s="36" t="s">
        <v>31</v>
      </c>
    </row>
    <row r="44" spans="1:9" x14ac:dyDescent="0.2">
      <c r="A44" s="6" t="s">
        <v>45</v>
      </c>
      <c r="B44" s="7" t="s">
        <v>35</v>
      </c>
      <c r="C44" s="8" t="s">
        <v>30</v>
      </c>
      <c r="D44" s="6">
        <v>60</v>
      </c>
      <c r="E44" s="8">
        <v>0</v>
      </c>
      <c r="F44" s="9">
        <v>0</v>
      </c>
      <c r="G44" s="8">
        <v>46</v>
      </c>
      <c r="H44" s="10">
        <f t="shared" si="1"/>
        <v>1.4642674000000001E-2</v>
      </c>
      <c r="I44" s="11" t="s">
        <v>36</v>
      </c>
    </row>
    <row r="45" spans="1:9" x14ac:dyDescent="0.2">
      <c r="A45" s="6" t="s">
        <v>45</v>
      </c>
      <c r="B45" s="7" t="s">
        <v>35</v>
      </c>
      <c r="C45" s="8" t="s">
        <v>30</v>
      </c>
      <c r="D45" s="6">
        <v>60</v>
      </c>
      <c r="E45" s="8">
        <v>2</v>
      </c>
      <c r="F45" s="9">
        <v>0.27</v>
      </c>
      <c r="G45" s="8">
        <v>326</v>
      </c>
      <c r="H45" s="10">
        <f t="shared" si="1"/>
        <v>0.10377199400000001</v>
      </c>
      <c r="I45" s="11" t="s">
        <v>36</v>
      </c>
    </row>
    <row r="46" spans="1:9" x14ac:dyDescent="0.2">
      <c r="A46" s="6" t="s">
        <v>45</v>
      </c>
      <c r="B46" s="7" t="s">
        <v>37</v>
      </c>
      <c r="C46" s="8" t="s">
        <v>30</v>
      </c>
      <c r="D46" s="6">
        <v>60</v>
      </c>
      <c r="E46" s="8">
        <v>4</v>
      </c>
      <c r="F46" s="9">
        <v>0.52</v>
      </c>
      <c r="G46" s="8">
        <v>464</v>
      </c>
      <c r="H46" s="10">
        <f t="shared" si="1"/>
        <v>0.14770001600000002</v>
      </c>
      <c r="I46" s="11" t="s">
        <v>36</v>
      </c>
    </row>
    <row r="47" spans="1:9" x14ac:dyDescent="0.2">
      <c r="A47" s="6" t="s">
        <v>45</v>
      </c>
      <c r="B47" s="7" t="s">
        <v>37</v>
      </c>
      <c r="C47" s="8" t="s">
        <v>30</v>
      </c>
      <c r="D47" s="6">
        <v>60</v>
      </c>
      <c r="E47" s="8">
        <v>6</v>
      </c>
      <c r="F47" s="9">
        <v>0.74</v>
      </c>
      <c r="G47" s="8">
        <v>578</v>
      </c>
      <c r="H47" s="10">
        <f t="shared" si="1"/>
        <v>0.18398838200000001</v>
      </c>
      <c r="I47" s="11" t="s">
        <v>36</v>
      </c>
    </row>
    <row r="48" spans="1:9" x14ac:dyDescent="0.2">
      <c r="A48" s="6" t="s">
        <v>45</v>
      </c>
      <c r="B48" s="7" t="s">
        <v>37</v>
      </c>
      <c r="C48" s="8" t="s">
        <v>30</v>
      </c>
      <c r="D48" s="6">
        <v>60</v>
      </c>
      <c r="E48" s="8">
        <v>8</v>
      </c>
      <c r="F48" s="9">
        <v>0.85</v>
      </c>
      <c r="G48" s="8">
        <v>635</v>
      </c>
      <c r="H48" s="10">
        <f t="shared" si="1"/>
        <v>0.20213256500000001</v>
      </c>
      <c r="I48" s="11" t="s">
        <v>36</v>
      </c>
    </row>
    <row r="49" spans="1:9" x14ac:dyDescent="0.2">
      <c r="A49" s="6" t="s">
        <v>45</v>
      </c>
      <c r="B49" s="7" t="s">
        <v>37</v>
      </c>
      <c r="C49" s="8" t="s">
        <v>30</v>
      </c>
      <c r="D49" s="6">
        <v>60</v>
      </c>
      <c r="E49" s="8">
        <v>10</v>
      </c>
      <c r="F49" s="9">
        <v>0.91</v>
      </c>
      <c r="G49" s="8">
        <v>678</v>
      </c>
      <c r="H49" s="10">
        <f t="shared" si="1"/>
        <v>0.21582028200000003</v>
      </c>
      <c r="I49" s="11" t="s">
        <v>36</v>
      </c>
    </row>
    <row r="50" spans="1:9" x14ac:dyDescent="0.2">
      <c r="A50" s="12" t="s">
        <v>46</v>
      </c>
      <c r="B50" s="13" t="s">
        <v>38</v>
      </c>
      <c r="C50" s="14" t="s">
        <v>27</v>
      </c>
      <c r="D50" s="12">
        <v>60</v>
      </c>
      <c r="E50" s="14">
        <v>0</v>
      </c>
      <c r="F50" s="15">
        <v>0</v>
      </c>
      <c r="G50" s="14">
        <v>54</v>
      </c>
      <c r="H50" s="16">
        <f t="shared" si="1"/>
        <v>1.7189226000000002E-2</v>
      </c>
      <c r="I50" s="17" t="s">
        <v>36</v>
      </c>
    </row>
    <row r="51" spans="1:9" x14ac:dyDescent="0.2">
      <c r="A51" s="12" t="s">
        <v>46</v>
      </c>
      <c r="B51" s="13" t="s">
        <v>38</v>
      </c>
      <c r="C51" s="14" t="s">
        <v>30</v>
      </c>
      <c r="D51" s="12">
        <v>60</v>
      </c>
      <c r="E51" s="14">
        <v>2</v>
      </c>
      <c r="F51" s="15">
        <v>0.26</v>
      </c>
      <c r="G51" s="14">
        <v>85</v>
      </c>
      <c r="H51" s="16">
        <f t="shared" si="1"/>
        <v>2.7057115000000003E-2</v>
      </c>
      <c r="I51" s="17" t="s">
        <v>36</v>
      </c>
    </row>
    <row r="52" spans="1:9" x14ac:dyDescent="0.2">
      <c r="A52" s="12" t="s">
        <v>46</v>
      </c>
      <c r="B52" s="13" t="s">
        <v>39</v>
      </c>
      <c r="C52" s="14" t="s">
        <v>30</v>
      </c>
      <c r="D52" s="12">
        <v>60</v>
      </c>
      <c r="E52" s="14">
        <v>4</v>
      </c>
      <c r="F52" s="15">
        <v>0.51</v>
      </c>
      <c r="G52" s="14">
        <v>468</v>
      </c>
      <c r="H52" s="16">
        <f t="shared" si="1"/>
        <v>0.14897329200000001</v>
      </c>
      <c r="I52" s="17" t="s">
        <v>36</v>
      </c>
    </row>
    <row r="53" spans="1:9" x14ac:dyDescent="0.2">
      <c r="A53" s="12" t="s">
        <v>46</v>
      </c>
      <c r="B53" s="13" t="s">
        <v>39</v>
      </c>
      <c r="C53" s="14" t="s">
        <v>30</v>
      </c>
      <c r="D53" s="12">
        <v>60</v>
      </c>
      <c r="E53" s="14">
        <v>6</v>
      </c>
      <c r="F53" s="15">
        <v>0.73</v>
      </c>
      <c r="G53" s="14">
        <v>636</v>
      </c>
      <c r="H53" s="16">
        <f t="shared" si="1"/>
        <v>0.20245088400000003</v>
      </c>
      <c r="I53" s="17" t="s">
        <v>36</v>
      </c>
    </row>
    <row r="54" spans="1:9" x14ac:dyDescent="0.2">
      <c r="A54" s="12" t="s">
        <v>46</v>
      </c>
      <c r="B54" s="13" t="s">
        <v>39</v>
      </c>
      <c r="C54" s="14" t="s">
        <v>30</v>
      </c>
      <c r="D54" s="12">
        <v>60</v>
      </c>
      <c r="E54" s="14">
        <v>8</v>
      </c>
      <c r="F54" s="15">
        <v>0.84</v>
      </c>
      <c r="G54" s="14">
        <v>685</v>
      </c>
      <c r="H54" s="16">
        <f t="shared" si="1"/>
        <v>0.21804851500000003</v>
      </c>
      <c r="I54" s="17" t="s">
        <v>36</v>
      </c>
    </row>
    <row r="55" spans="1:9" x14ac:dyDescent="0.2">
      <c r="A55" s="12" t="s">
        <v>46</v>
      </c>
      <c r="B55" s="13" t="s">
        <v>39</v>
      </c>
      <c r="C55" s="14" t="s">
        <v>30</v>
      </c>
      <c r="D55" s="12">
        <v>60</v>
      </c>
      <c r="E55" s="14">
        <v>10</v>
      </c>
      <c r="F55" s="15">
        <v>0.92</v>
      </c>
      <c r="G55" s="14">
        <v>708</v>
      </c>
      <c r="H55" s="16">
        <f t="shared" si="1"/>
        <v>0.22536985200000001</v>
      </c>
      <c r="I55" s="17" t="s">
        <v>36</v>
      </c>
    </row>
    <row r="56" spans="1:9" x14ac:dyDescent="0.2">
      <c r="A56" s="6" t="s">
        <v>20</v>
      </c>
      <c r="B56" s="7" t="s">
        <v>21</v>
      </c>
      <c r="C56" s="6" t="s">
        <v>32</v>
      </c>
      <c r="D56" s="6">
        <v>60</v>
      </c>
      <c r="E56" s="8">
        <v>0</v>
      </c>
      <c r="F56" s="9">
        <v>0</v>
      </c>
      <c r="G56" s="8">
        <v>59</v>
      </c>
      <c r="H56" s="10">
        <f t="shared" si="1"/>
        <v>1.8780821E-2</v>
      </c>
      <c r="I56" s="11" t="s">
        <v>34</v>
      </c>
    </row>
    <row r="57" spans="1:9" x14ac:dyDescent="0.2">
      <c r="A57" s="6" t="s">
        <v>20</v>
      </c>
      <c r="B57" s="7" t="s">
        <v>21</v>
      </c>
      <c r="C57" s="6" t="s">
        <v>32</v>
      </c>
      <c r="D57" s="6">
        <v>60</v>
      </c>
      <c r="E57" s="8">
        <v>2</v>
      </c>
      <c r="F57" s="9">
        <v>0.28000000000000003</v>
      </c>
      <c r="G57" s="8">
        <v>106</v>
      </c>
      <c r="H57" s="10">
        <f t="shared" si="1"/>
        <v>3.3741814000000002E-2</v>
      </c>
      <c r="I57" s="11" t="s">
        <v>34</v>
      </c>
    </row>
    <row r="58" spans="1:9" x14ac:dyDescent="0.2">
      <c r="A58" s="6" t="s">
        <v>20</v>
      </c>
      <c r="B58" s="7" t="s">
        <v>21</v>
      </c>
      <c r="C58" s="6" t="s">
        <v>32</v>
      </c>
      <c r="D58" s="6">
        <v>60</v>
      </c>
      <c r="E58" s="8">
        <v>4</v>
      </c>
      <c r="F58" s="9">
        <v>0.55000000000000004</v>
      </c>
      <c r="G58" s="8">
        <v>305</v>
      </c>
      <c r="H58" s="10">
        <f t="shared" si="1"/>
        <v>9.7087295000000004E-2</v>
      </c>
      <c r="I58" s="11" t="s">
        <v>34</v>
      </c>
    </row>
    <row r="59" spans="1:9" x14ac:dyDescent="0.2">
      <c r="A59" s="6" t="s">
        <v>20</v>
      </c>
      <c r="B59" s="7" t="s">
        <v>21</v>
      </c>
      <c r="C59" s="6" t="s">
        <v>32</v>
      </c>
      <c r="D59" s="6">
        <v>60</v>
      </c>
      <c r="E59" s="8">
        <v>6</v>
      </c>
      <c r="F59" s="9">
        <v>0.78</v>
      </c>
      <c r="G59" s="8">
        <v>425</v>
      </c>
      <c r="H59" s="10">
        <f t="shared" si="1"/>
        <v>0.13528557499999999</v>
      </c>
      <c r="I59" s="11" t="s">
        <v>34</v>
      </c>
    </row>
    <row r="60" spans="1:9" x14ac:dyDescent="0.2">
      <c r="A60" s="6" t="s">
        <v>20</v>
      </c>
      <c r="B60" s="7" t="s">
        <v>21</v>
      </c>
      <c r="C60" s="6" t="s">
        <v>32</v>
      </c>
      <c r="D60" s="6">
        <v>60</v>
      </c>
      <c r="E60" s="8">
        <v>8</v>
      </c>
      <c r="F60" s="9">
        <v>0.89</v>
      </c>
      <c r="G60" s="8">
        <v>466</v>
      </c>
      <c r="H60" s="10">
        <f t="shared" si="1"/>
        <v>0.14833665400000001</v>
      </c>
      <c r="I60" s="11" t="s">
        <v>34</v>
      </c>
    </row>
    <row r="61" spans="1:9" x14ac:dyDescent="0.2">
      <c r="A61" s="6" t="s">
        <v>20</v>
      </c>
      <c r="B61" s="7" t="s">
        <v>21</v>
      </c>
      <c r="C61" s="6" t="s">
        <v>32</v>
      </c>
      <c r="D61" s="6">
        <v>60</v>
      </c>
      <c r="E61" s="8">
        <v>10</v>
      </c>
      <c r="F61" s="9">
        <v>0.96</v>
      </c>
      <c r="G61" s="8">
        <v>486</v>
      </c>
      <c r="H61" s="10">
        <f t="shared" si="1"/>
        <v>0.15470303400000002</v>
      </c>
      <c r="I61" s="11" t="s">
        <v>34</v>
      </c>
    </row>
    <row r="62" spans="1:9" x14ac:dyDescent="0.2">
      <c r="A62" s="12" t="s">
        <v>43</v>
      </c>
      <c r="B62" s="13" t="s">
        <v>40</v>
      </c>
      <c r="C62" s="12" t="s">
        <v>32</v>
      </c>
      <c r="D62" s="12">
        <v>60</v>
      </c>
      <c r="E62" s="14">
        <v>0</v>
      </c>
      <c r="F62" s="15">
        <v>0</v>
      </c>
      <c r="G62" s="14">
        <v>-23</v>
      </c>
      <c r="H62" s="16">
        <f t="shared" si="1"/>
        <v>-7.3213370000000007E-3</v>
      </c>
      <c r="I62" s="17" t="s">
        <v>34</v>
      </c>
    </row>
    <row r="63" spans="1:9" x14ac:dyDescent="0.2">
      <c r="A63" s="12" t="s">
        <v>43</v>
      </c>
      <c r="B63" s="13" t="s">
        <v>40</v>
      </c>
      <c r="C63" s="12" t="s">
        <v>32</v>
      </c>
      <c r="D63" s="12">
        <v>60</v>
      </c>
      <c r="E63" s="14">
        <v>2</v>
      </c>
      <c r="F63" s="15">
        <v>0.27</v>
      </c>
      <c r="G63" s="14">
        <v>83</v>
      </c>
      <c r="H63" s="16">
        <f t="shared" si="1"/>
        <v>2.6420477000000001E-2</v>
      </c>
      <c r="I63" s="17" t="s">
        <v>34</v>
      </c>
    </row>
    <row r="64" spans="1:9" x14ac:dyDescent="0.2">
      <c r="A64" s="12" t="s">
        <v>43</v>
      </c>
      <c r="B64" s="13" t="s">
        <v>41</v>
      </c>
      <c r="C64" s="12" t="s">
        <v>32</v>
      </c>
      <c r="D64" s="12">
        <v>60</v>
      </c>
      <c r="E64" s="14">
        <v>4</v>
      </c>
      <c r="F64" s="15">
        <v>0.52</v>
      </c>
      <c r="G64" s="14">
        <v>342</v>
      </c>
      <c r="H64" s="16">
        <f t="shared" si="1"/>
        <v>0.10886509800000002</v>
      </c>
      <c r="I64" s="17" t="s">
        <v>42</v>
      </c>
    </row>
    <row r="65" spans="1:9" x14ac:dyDescent="0.2">
      <c r="A65" s="12" t="s">
        <v>43</v>
      </c>
      <c r="B65" s="13" t="s">
        <v>41</v>
      </c>
      <c r="C65" s="12" t="s">
        <v>32</v>
      </c>
      <c r="D65" s="12">
        <v>60</v>
      </c>
      <c r="E65" s="14">
        <v>6</v>
      </c>
      <c r="F65" s="15">
        <v>0.75</v>
      </c>
      <c r="G65" s="14">
        <v>546</v>
      </c>
      <c r="H65" s="16">
        <f t="shared" si="1"/>
        <v>0.17380217400000003</v>
      </c>
      <c r="I65" s="17" t="s">
        <v>42</v>
      </c>
    </row>
    <row r="66" spans="1:9" x14ac:dyDescent="0.2">
      <c r="A66" s="12" t="s">
        <v>43</v>
      </c>
      <c r="B66" s="13" t="s">
        <v>40</v>
      </c>
      <c r="C66" s="12" t="s">
        <v>32</v>
      </c>
      <c r="D66" s="12">
        <v>60</v>
      </c>
      <c r="E66" s="14">
        <v>8</v>
      </c>
      <c r="F66" s="15">
        <v>0.87</v>
      </c>
      <c r="G66" s="14">
        <v>657</v>
      </c>
      <c r="H66" s="16">
        <f t="shared" ref="H66:H97" si="2">G66/1000*0.318319</f>
        <v>0.20913558300000001</v>
      </c>
      <c r="I66" s="17" t="s">
        <v>42</v>
      </c>
    </row>
    <row r="67" spans="1:9" x14ac:dyDescent="0.2">
      <c r="A67" s="12" t="s">
        <v>43</v>
      </c>
      <c r="B67" s="13" t="s">
        <v>41</v>
      </c>
      <c r="C67" s="12" t="s">
        <v>32</v>
      </c>
      <c r="D67" s="12">
        <v>60</v>
      </c>
      <c r="E67" s="14">
        <v>10</v>
      </c>
      <c r="F67" s="15">
        <v>0.93</v>
      </c>
      <c r="G67" s="14">
        <v>763</v>
      </c>
      <c r="H67" s="16">
        <f t="shared" si="2"/>
        <v>0.24287739700000002</v>
      </c>
      <c r="I67" s="17" t="s">
        <v>42</v>
      </c>
    </row>
    <row r="68" spans="1:9" x14ac:dyDescent="0.2">
      <c r="A68" s="20" t="s">
        <v>69</v>
      </c>
      <c r="B68" s="19" t="s">
        <v>47</v>
      </c>
      <c r="C68" s="20" t="s">
        <v>30</v>
      </c>
      <c r="D68" s="18">
        <v>60</v>
      </c>
      <c r="E68" s="20">
        <v>0</v>
      </c>
      <c r="F68" s="21">
        <v>0</v>
      </c>
      <c r="G68" s="20">
        <v>8</v>
      </c>
      <c r="H68" s="22">
        <f t="shared" si="2"/>
        <v>2.5465520000000001E-3</v>
      </c>
      <c r="I68" s="23" t="s">
        <v>48</v>
      </c>
    </row>
    <row r="69" spans="1:9" x14ac:dyDescent="0.2">
      <c r="A69" s="20" t="s">
        <v>69</v>
      </c>
      <c r="B69" s="19" t="s">
        <v>47</v>
      </c>
      <c r="C69" s="20" t="s">
        <v>30</v>
      </c>
      <c r="D69" s="18">
        <v>60</v>
      </c>
      <c r="E69" s="20">
        <v>1</v>
      </c>
      <c r="F69" s="21">
        <v>0.15</v>
      </c>
      <c r="G69" s="20">
        <v>15</v>
      </c>
      <c r="H69" s="22">
        <f t="shared" si="2"/>
        <v>4.7747850000000001E-3</v>
      </c>
      <c r="I69" s="23" t="s">
        <v>48</v>
      </c>
    </row>
    <row r="70" spans="1:9" x14ac:dyDescent="0.2">
      <c r="A70" s="20" t="s">
        <v>69</v>
      </c>
      <c r="B70" s="19" t="s">
        <v>47</v>
      </c>
      <c r="C70" s="20" t="s">
        <v>30</v>
      </c>
      <c r="D70" s="18">
        <v>60</v>
      </c>
      <c r="E70" s="20">
        <v>2</v>
      </c>
      <c r="F70" s="21">
        <v>0.28999999999999998</v>
      </c>
      <c r="G70" s="20">
        <v>88</v>
      </c>
      <c r="H70" s="22">
        <f t="shared" si="2"/>
        <v>2.8012071999999999E-2</v>
      </c>
      <c r="I70" s="23" t="s">
        <v>48</v>
      </c>
    </row>
    <row r="71" spans="1:9" x14ac:dyDescent="0.2">
      <c r="A71" s="20" t="s">
        <v>69</v>
      </c>
      <c r="B71" s="19" t="s">
        <v>49</v>
      </c>
      <c r="C71" s="20" t="s">
        <v>30</v>
      </c>
      <c r="D71" s="18">
        <v>60</v>
      </c>
      <c r="E71" s="20">
        <v>3</v>
      </c>
      <c r="F71" s="21">
        <v>0.43</v>
      </c>
      <c r="G71" s="20">
        <v>166</v>
      </c>
      <c r="H71" s="22">
        <f t="shared" si="2"/>
        <v>5.2840954000000002E-2</v>
      </c>
      <c r="I71" s="23" t="s">
        <v>48</v>
      </c>
    </row>
    <row r="72" spans="1:9" x14ac:dyDescent="0.2">
      <c r="A72" s="20" t="s">
        <v>69</v>
      </c>
      <c r="B72" s="19" t="s">
        <v>47</v>
      </c>
      <c r="C72" s="20" t="s">
        <v>30</v>
      </c>
      <c r="D72" s="18">
        <v>60</v>
      </c>
      <c r="E72" s="20">
        <v>4</v>
      </c>
      <c r="F72" s="21">
        <v>0.56999999999999995</v>
      </c>
      <c r="G72" s="20">
        <v>258</v>
      </c>
      <c r="H72" s="22">
        <f t="shared" si="2"/>
        <v>8.2126302000000012E-2</v>
      </c>
      <c r="I72" s="23" t="s">
        <v>48</v>
      </c>
    </row>
    <row r="73" spans="1:9" x14ac:dyDescent="0.2">
      <c r="A73" s="20" t="s">
        <v>69</v>
      </c>
      <c r="B73" s="19" t="s">
        <v>47</v>
      </c>
      <c r="C73" s="20" t="s">
        <v>30</v>
      </c>
      <c r="D73" s="18">
        <v>60</v>
      </c>
      <c r="E73" s="20">
        <v>5</v>
      </c>
      <c r="F73" s="21">
        <v>0.7</v>
      </c>
      <c r="G73" s="20">
        <v>367</v>
      </c>
      <c r="H73" s="22">
        <f t="shared" si="2"/>
        <v>0.116823073</v>
      </c>
      <c r="I73" s="23" t="s">
        <v>48</v>
      </c>
    </row>
    <row r="74" spans="1:9" x14ac:dyDescent="0.2">
      <c r="A74" s="20" t="s">
        <v>69</v>
      </c>
      <c r="B74" s="19" t="s">
        <v>47</v>
      </c>
      <c r="C74" s="20" t="s">
        <v>30</v>
      </c>
      <c r="D74" s="18">
        <v>60</v>
      </c>
      <c r="E74" s="20">
        <v>7</v>
      </c>
      <c r="F74" s="21">
        <v>0.86</v>
      </c>
      <c r="G74" s="20">
        <v>456</v>
      </c>
      <c r="H74" s="22">
        <f t="shared" si="2"/>
        <v>0.14515346400000001</v>
      </c>
      <c r="I74" s="23" t="s">
        <v>48</v>
      </c>
    </row>
    <row r="75" spans="1:9" x14ac:dyDescent="0.2">
      <c r="A75" s="20" t="s">
        <v>69</v>
      </c>
      <c r="B75" s="19" t="s">
        <v>47</v>
      </c>
      <c r="C75" s="20" t="s">
        <v>30</v>
      </c>
      <c r="D75" s="18">
        <v>60</v>
      </c>
      <c r="E75" s="20">
        <v>10</v>
      </c>
      <c r="F75" s="21">
        <v>0.97</v>
      </c>
      <c r="G75" s="20">
        <v>467</v>
      </c>
      <c r="H75" s="22">
        <f t="shared" si="2"/>
        <v>0.14865497300000002</v>
      </c>
      <c r="I75" s="23" t="s">
        <v>48</v>
      </c>
    </row>
    <row r="76" spans="1:9" x14ac:dyDescent="0.2">
      <c r="A76" s="8" t="s">
        <v>68</v>
      </c>
      <c r="B76" s="7" t="s">
        <v>50</v>
      </c>
      <c r="C76" s="8" t="s">
        <v>30</v>
      </c>
      <c r="D76" s="6">
        <v>60</v>
      </c>
      <c r="E76" s="8">
        <v>0</v>
      </c>
      <c r="F76" s="9">
        <v>0</v>
      </c>
      <c r="G76" s="8">
        <v>25</v>
      </c>
      <c r="H76" s="10">
        <f t="shared" si="2"/>
        <v>7.9579750000000008E-3</v>
      </c>
      <c r="I76" s="11" t="s">
        <v>51</v>
      </c>
    </row>
    <row r="77" spans="1:9" x14ac:dyDescent="0.2">
      <c r="A77" s="8" t="s">
        <v>68</v>
      </c>
      <c r="B77" s="7" t="s">
        <v>50</v>
      </c>
      <c r="C77" s="8" t="s">
        <v>30</v>
      </c>
      <c r="D77" s="6">
        <v>60</v>
      </c>
      <c r="E77" s="8">
        <v>1</v>
      </c>
      <c r="F77" s="9">
        <v>0.14000000000000001</v>
      </c>
      <c r="G77" s="8">
        <v>35</v>
      </c>
      <c r="H77" s="10">
        <f t="shared" si="2"/>
        <v>1.1141165000000001E-2</v>
      </c>
      <c r="I77" s="11" t="s">
        <v>51</v>
      </c>
    </row>
    <row r="78" spans="1:9" x14ac:dyDescent="0.2">
      <c r="A78" s="8" t="s">
        <v>68</v>
      </c>
      <c r="B78" s="7" t="s">
        <v>50</v>
      </c>
      <c r="C78" s="8" t="s">
        <v>30</v>
      </c>
      <c r="D78" s="6">
        <v>60</v>
      </c>
      <c r="E78" s="8">
        <v>2</v>
      </c>
      <c r="F78" s="9">
        <v>0.28000000000000003</v>
      </c>
      <c r="G78" s="8">
        <v>84</v>
      </c>
      <c r="H78" s="10">
        <f t="shared" si="2"/>
        <v>2.6738796000000002E-2</v>
      </c>
      <c r="I78" s="11" t="s">
        <v>51</v>
      </c>
    </row>
    <row r="79" spans="1:9" x14ac:dyDescent="0.2">
      <c r="A79" s="8" t="s">
        <v>68</v>
      </c>
      <c r="B79" s="7" t="s">
        <v>50</v>
      </c>
      <c r="C79" s="8" t="s">
        <v>30</v>
      </c>
      <c r="D79" s="6">
        <v>60</v>
      </c>
      <c r="E79" s="8">
        <v>3</v>
      </c>
      <c r="F79" s="9">
        <v>0.42</v>
      </c>
      <c r="G79" s="8">
        <v>165</v>
      </c>
      <c r="H79" s="10">
        <f t="shared" si="2"/>
        <v>5.2522635000000005E-2</v>
      </c>
      <c r="I79" s="11" t="s">
        <v>51</v>
      </c>
    </row>
    <row r="80" spans="1:9" x14ac:dyDescent="0.2">
      <c r="A80" s="8" t="s">
        <v>68</v>
      </c>
      <c r="B80" s="7" t="s">
        <v>50</v>
      </c>
      <c r="C80" s="8" t="s">
        <v>30</v>
      </c>
      <c r="D80" s="6">
        <v>60</v>
      </c>
      <c r="E80" s="8">
        <v>4</v>
      </c>
      <c r="F80" s="9">
        <v>0.55000000000000004</v>
      </c>
      <c r="G80" s="8">
        <v>254</v>
      </c>
      <c r="H80" s="10">
        <f t="shared" si="2"/>
        <v>8.0853026000000008E-2</v>
      </c>
      <c r="I80" s="11" t="s">
        <v>51</v>
      </c>
    </row>
    <row r="81" spans="1:9" x14ac:dyDescent="0.2">
      <c r="A81" s="8" t="s">
        <v>68</v>
      </c>
      <c r="B81" s="7" t="s">
        <v>50</v>
      </c>
      <c r="C81" s="8" t="s">
        <v>30</v>
      </c>
      <c r="D81" s="6">
        <v>60</v>
      </c>
      <c r="E81" s="8">
        <v>5</v>
      </c>
      <c r="F81" s="9">
        <v>0.68</v>
      </c>
      <c r="G81" s="8">
        <v>354</v>
      </c>
      <c r="H81" s="10">
        <f t="shared" si="2"/>
        <v>0.112684926</v>
      </c>
      <c r="I81" s="11" t="s">
        <v>51</v>
      </c>
    </row>
    <row r="82" spans="1:9" x14ac:dyDescent="0.2">
      <c r="A82" s="8" t="s">
        <v>68</v>
      </c>
      <c r="B82" s="7" t="s">
        <v>50</v>
      </c>
      <c r="C82" s="8" t="s">
        <v>30</v>
      </c>
      <c r="D82" s="6">
        <v>60</v>
      </c>
      <c r="E82" s="8">
        <v>7</v>
      </c>
      <c r="F82" s="9">
        <v>0.83</v>
      </c>
      <c r="G82" s="8">
        <v>464</v>
      </c>
      <c r="H82" s="10">
        <f t="shared" si="2"/>
        <v>0.14770001600000002</v>
      </c>
      <c r="I82" s="11" t="s">
        <v>51</v>
      </c>
    </row>
    <row r="83" spans="1:9" x14ac:dyDescent="0.2">
      <c r="A83" s="8" t="s">
        <v>68</v>
      </c>
      <c r="B83" s="7" t="s">
        <v>50</v>
      </c>
      <c r="C83" s="8" t="s">
        <v>30</v>
      </c>
      <c r="D83" s="6">
        <v>60</v>
      </c>
      <c r="E83" s="8">
        <v>10</v>
      </c>
      <c r="F83" s="9">
        <v>0.94</v>
      </c>
      <c r="G83" s="8">
        <v>536</v>
      </c>
      <c r="H83" s="10">
        <f t="shared" si="2"/>
        <v>0.17061898400000003</v>
      </c>
      <c r="I83" s="11" t="s">
        <v>51</v>
      </c>
    </row>
    <row r="84" spans="1:9" x14ac:dyDescent="0.2">
      <c r="A84" s="25" t="s">
        <v>67</v>
      </c>
      <c r="B84" s="30" t="s">
        <v>52</v>
      </c>
      <c r="C84" s="25" t="s">
        <v>30</v>
      </c>
      <c r="D84" s="26">
        <v>60</v>
      </c>
      <c r="E84" s="25">
        <v>0</v>
      </c>
      <c r="F84" s="27">
        <v>0</v>
      </c>
      <c r="G84" s="25">
        <v>10</v>
      </c>
      <c r="H84" s="28">
        <f t="shared" si="2"/>
        <v>3.1831900000000002E-3</v>
      </c>
      <c r="I84" s="29" t="s">
        <v>53</v>
      </c>
    </row>
    <row r="85" spans="1:9" x14ac:dyDescent="0.2">
      <c r="A85" s="25" t="s">
        <v>67</v>
      </c>
      <c r="B85" s="30" t="s">
        <v>52</v>
      </c>
      <c r="C85" s="25" t="s">
        <v>30</v>
      </c>
      <c r="D85" s="26">
        <v>60</v>
      </c>
      <c r="E85" s="25">
        <v>1</v>
      </c>
      <c r="F85" s="27">
        <v>0.15</v>
      </c>
      <c r="G85" s="25">
        <v>23</v>
      </c>
      <c r="H85" s="28">
        <f t="shared" si="2"/>
        <v>7.3213370000000007E-3</v>
      </c>
      <c r="I85" s="29" t="s">
        <v>53</v>
      </c>
    </row>
    <row r="86" spans="1:9" x14ac:dyDescent="0.2">
      <c r="A86" s="25" t="s">
        <v>67</v>
      </c>
      <c r="B86" s="30" t="s">
        <v>52</v>
      </c>
      <c r="C86" s="25" t="s">
        <v>30</v>
      </c>
      <c r="D86" s="26">
        <v>60</v>
      </c>
      <c r="E86" s="25">
        <v>2</v>
      </c>
      <c r="F86" s="27">
        <v>0.28999999999999998</v>
      </c>
      <c r="G86" s="25">
        <v>264</v>
      </c>
      <c r="H86" s="28">
        <f t="shared" si="2"/>
        <v>8.4036216000000011E-2</v>
      </c>
      <c r="I86" s="29" t="s">
        <v>51</v>
      </c>
    </row>
    <row r="87" spans="1:9" x14ac:dyDescent="0.2">
      <c r="A87" s="25" t="s">
        <v>67</v>
      </c>
      <c r="B87" s="30" t="s">
        <v>52</v>
      </c>
      <c r="C87" s="25" t="s">
        <v>30</v>
      </c>
      <c r="D87" s="26">
        <v>60</v>
      </c>
      <c r="E87" s="25">
        <v>3</v>
      </c>
      <c r="F87" s="27">
        <v>0.42</v>
      </c>
      <c r="G87" s="25">
        <v>576</v>
      </c>
      <c r="H87" s="28">
        <f t="shared" si="2"/>
        <v>0.18335174399999998</v>
      </c>
      <c r="I87" s="29" t="s">
        <v>51</v>
      </c>
    </row>
    <row r="88" spans="1:9" x14ac:dyDescent="0.2">
      <c r="A88" s="25" t="s">
        <v>67</v>
      </c>
      <c r="B88" s="30" t="s">
        <v>52</v>
      </c>
      <c r="C88" s="25" t="s">
        <v>30</v>
      </c>
      <c r="D88" s="26">
        <v>60</v>
      </c>
      <c r="E88" s="25">
        <v>4</v>
      </c>
      <c r="F88" s="27">
        <v>0.55000000000000004</v>
      </c>
      <c r="G88" s="25">
        <v>719</v>
      </c>
      <c r="H88" s="28">
        <f t="shared" si="2"/>
        <v>0.228871361</v>
      </c>
      <c r="I88" s="29" t="s">
        <v>51</v>
      </c>
    </row>
    <row r="89" spans="1:9" x14ac:dyDescent="0.2">
      <c r="A89" s="25" t="s">
        <v>67</v>
      </c>
      <c r="B89" s="30" t="s">
        <v>52</v>
      </c>
      <c r="C89" s="25" t="s">
        <v>30</v>
      </c>
      <c r="D89" s="26">
        <v>60</v>
      </c>
      <c r="E89" s="25">
        <v>5</v>
      </c>
      <c r="F89" s="27">
        <v>0.68</v>
      </c>
      <c r="G89" s="25">
        <v>849</v>
      </c>
      <c r="H89" s="28">
        <f t="shared" si="2"/>
        <v>0.27025283100000003</v>
      </c>
      <c r="I89" s="29" t="s">
        <v>51</v>
      </c>
    </row>
    <row r="90" spans="1:9" x14ac:dyDescent="0.2">
      <c r="A90" s="25" t="s">
        <v>67</v>
      </c>
      <c r="B90" s="30" t="s">
        <v>52</v>
      </c>
      <c r="C90" s="25" t="s">
        <v>30</v>
      </c>
      <c r="D90" s="26">
        <v>60</v>
      </c>
      <c r="E90" s="25">
        <v>7</v>
      </c>
      <c r="F90" s="27">
        <v>0.84</v>
      </c>
      <c r="G90" s="25">
        <v>980</v>
      </c>
      <c r="H90" s="28">
        <f t="shared" si="2"/>
        <v>0.31195262000000001</v>
      </c>
      <c r="I90" s="29" t="s">
        <v>51</v>
      </c>
    </row>
    <row r="91" spans="1:9" x14ac:dyDescent="0.2">
      <c r="A91" s="25" t="s">
        <v>67</v>
      </c>
      <c r="B91" s="30" t="s">
        <v>52</v>
      </c>
      <c r="C91" s="25" t="s">
        <v>30</v>
      </c>
      <c r="D91" s="26">
        <v>60</v>
      </c>
      <c r="E91" s="25">
        <v>10</v>
      </c>
      <c r="F91" s="27">
        <v>0.95</v>
      </c>
      <c r="G91" s="25">
        <v>1017</v>
      </c>
      <c r="H91" s="28">
        <f t="shared" si="2"/>
        <v>0.32373042299999999</v>
      </c>
      <c r="I91" s="29" t="s">
        <v>51</v>
      </c>
    </row>
    <row r="92" spans="1:9" x14ac:dyDescent="0.2">
      <c r="A92" s="31" t="s">
        <v>66</v>
      </c>
      <c r="B92" s="32" t="s">
        <v>55</v>
      </c>
      <c r="C92" s="33" t="s">
        <v>27</v>
      </c>
      <c r="D92" s="31">
        <v>60</v>
      </c>
      <c r="E92" s="33">
        <v>0</v>
      </c>
      <c r="F92" s="34">
        <v>0</v>
      </c>
      <c r="G92" s="33">
        <v>81</v>
      </c>
      <c r="H92" s="35">
        <f t="shared" si="2"/>
        <v>2.5783839000000003E-2</v>
      </c>
      <c r="I92" s="36" t="s">
        <v>54</v>
      </c>
    </row>
    <row r="93" spans="1:9" x14ac:dyDescent="0.2">
      <c r="A93" s="31" t="s">
        <v>66</v>
      </c>
      <c r="B93" s="32" t="s">
        <v>55</v>
      </c>
      <c r="C93" s="33" t="s">
        <v>27</v>
      </c>
      <c r="D93" s="31">
        <v>60</v>
      </c>
      <c r="E93" s="33">
        <v>1</v>
      </c>
      <c r="F93" s="34">
        <v>0.14000000000000001</v>
      </c>
      <c r="G93" s="33">
        <v>342</v>
      </c>
      <c r="H93" s="35">
        <f t="shared" si="2"/>
        <v>0.10886509800000002</v>
      </c>
      <c r="I93" s="36" t="s">
        <v>54</v>
      </c>
    </row>
    <row r="94" spans="1:9" x14ac:dyDescent="0.2">
      <c r="A94" s="31" t="s">
        <v>66</v>
      </c>
      <c r="B94" s="32" t="s">
        <v>55</v>
      </c>
      <c r="C94" s="33" t="s">
        <v>27</v>
      </c>
      <c r="D94" s="31">
        <v>60</v>
      </c>
      <c r="E94" s="33">
        <v>2</v>
      </c>
      <c r="F94" s="34">
        <v>0.28999999999999998</v>
      </c>
      <c r="G94" s="33">
        <v>452</v>
      </c>
      <c r="H94" s="35">
        <f t="shared" si="2"/>
        <v>0.14388018800000002</v>
      </c>
      <c r="I94" s="36" t="s">
        <v>54</v>
      </c>
    </row>
    <row r="95" spans="1:9" x14ac:dyDescent="0.2">
      <c r="A95" s="31" t="s">
        <v>66</v>
      </c>
      <c r="B95" s="32" t="s">
        <v>55</v>
      </c>
      <c r="C95" s="33" t="s">
        <v>27</v>
      </c>
      <c r="D95" s="31">
        <v>60</v>
      </c>
      <c r="E95" s="33">
        <v>3</v>
      </c>
      <c r="F95" s="34">
        <v>0.43</v>
      </c>
      <c r="G95" s="33">
        <v>539</v>
      </c>
      <c r="H95" s="35">
        <f t="shared" si="2"/>
        <v>0.17157394100000001</v>
      </c>
      <c r="I95" s="36" t="s">
        <v>54</v>
      </c>
    </row>
    <row r="96" spans="1:9" x14ac:dyDescent="0.2">
      <c r="A96" s="31" t="s">
        <v>66</v>
      </c>
      <c r="B96" s="32" t="s">
        <v>55</v>
      </c>
      <c r="C96" s="33" t="s">
        <v>27</v>
      </c>
      <c r="D96" s="31">
        <v>60</v>
      </c>
      <c r="E96" s="33">
        <v>4</v>
      </c>
      <c r="F96" s="34">
        <v>0.56000000000000005</v>
      </c>
      <c r="G96" s="33">
        <v>714</v>
      </c>
      <c r="H96" s="35">
        <f t="shared" si="2"/>
        <v>0.22727976599999999</v>
      </c>
      <c r="I96" s="36" t="s">
        <v>54</v>
      </c>
    </row>
    <row r="97" spans="1:9" x14ac:dyDescent="0.2">
      <c r="A97" s="31" t="s">
        <v>66</v>
      </c>
      <c r="B97" s="32" t="s">
        <v>55</v>
      </c>
      <c r="C97" s="33" t="s">
        <v>27</v>
      </c>
      <c r="D97" s="31">
        <v>60</v>
      </c>
      <c r="E97" s="33">
        <v>5</v>
      </c>
      <c r="F97" s="34">
        <v>0.69</v>
      </c>
      <c r="G97" s="33">
        <v>966</v>
      </c>
      <c r="H97" s="35">
        <f t="shared" si="2"/>
        <v>0.30749615400000002</v>
      </c>
      <c r="I97" s="36" t="s">
        <v>54</v>
      </c>
    </row>
    <row r="98" spans="1:9" x14ac:dyDescent="0.2">
      <c r="A98" s="31" t="s">
        <v>66</v>
      </c>
      <c r="B98" s="32" t="s">
        <v>55</v>
      </c>
      <c r="C98" s="33" t="s">
        <v>27</v>
      </c>
      <c r="D98" s="31">
        <v>60</v>
      </c>
      <c r="E98" s="33">
        <v>7</v>
      </c>
      <c r="F98" s="34">
        <v>0.87</v>
      </c>
      <c r="G98" s="33">
        <v>1514</v>
      </c>
      <c r="H98" s="35">
        <f t="shared" ref="H98:H129" si="3">G98/1000*0.318319</f>
        <v>0.48193496600000002</v>
      </c>
      <c r="I98" s="36" t="s">
        <v>54</v>
      </c>
    </row>
    <row r="99" spans="1:9" x14ac:dyDescent="0.2">
      <c r="A99" s="31" t="s">
        <v>66</v>
      </c>
      <c r="B99" s="32" t="s">
        <v>55</v>
      </c>
      <c r="C99" s="33" t="s">
        <v>27</v>
      </c>
      <c r="D99" s="31">
        <v>60</v>
      </c>
      <c r="E99" s="33">
        <v>10</v>
      </c>
      <c r="F99" s="34">
        <v>0.98</v>
      </c>
      <c r="G99" s="33">
        <v>1777</v>
      </c>
      <c r="H99" s="35">
        <f t="shared" si="3"/>
        <v>0.56565286299999995</v>
      </c>
      <c r="I99" s="36" t="s">
        <v>54</v>
      </c>
    </row>
    <row r="100" spans="1:9" x14ac:dyDescent="0.2">
      <c r="A100" s="6" t="s">
        <v>20</v>
      </c>
      <c r="B100" s="7" t="s">
        <v>22</v>
      </c>
      <c r="C100" s="8" t="s">
        <v>9</v>
      </c>
      <c r="D100" s="6">
        <v>60</v>
      </c>
      <c r="E100" s="8">
        <v>0</v>
      </c>
      <c r="F100" s="9">
        <v>0</v>
      </c>
      <c r="G100" s="8">
        <v>27</v>
      </c>
      <c r="H100" s="10">
        <f t="shared" si="3"/>
        <v>8.5946130000000009E-3</v>
      </c>
      <c r="I100" s="11" t="s">
        <v>54</v>
      </c>
    </row>
    <row r="101" spans="1:9" x14ac:dyDescent="0.2">
      <c r="A101" s="6" t="s">
        <v>20</v>
      </c>
      <c r="B101" s="7" t="s">
        <v>22</v>
      </c>
      <c r="C101" s="8" t="s">
        <v>9</v>
      </c>
      <c r="D101" s="6">
        <v>60</v>
      </c>
      <c r="E101" s="8">
        <v>1</v>
      </c>
      <c r="F101" s="9">
        <v>0.15</v>
      </c>
      <c r="G101" s="8">
        <v>109</v>
      </c>
      <c r="H101" s="10">
        <f t="shared" si="3"/>
        <v>3.4696771000000001E-2</v>
      </c>
      <c r="I101" s="11" t="s">
        <v>54</v>
      </c>
    </row>
    <row r="102" spans="1:9" x14ac:dyDescent="0.2">
      <c r="A102" s="6" t="s">
        <v>20</v>
      </c>
      <c r="B102" s="7" t="s">
        <v>22</v>
      </c>
      <c r="C102" s="8" t="s">
        <v>9</v>
      </c>
      <c r="D102" s="6">
        <v>60</v>
      </c>
      <c r="E102" s="8">
        <v>2</v>
      </c>
      <c r="F102" s="9">
        <v>0.28999999999999998</v>
      </c>
      <c r="G102" s="8">
        <v>157</v>
      </c>
      <c r="H102" s="10">
        <f t="shared" si="3"/>
        <v>4.9976083000000004E-2</v>
      </c>
      <c r="I102" s="11" t="s">
        <v>54</v>
      </c>
    </row>
    <row r="103" spans="1:9" x14ac:dyDescent="0.2">
      <c r="A103" s="6" t="s">
        <v>20</v>
      </c>
      <c r="B103" s="7" t="s">
        <v>22</v>
      </c>
      <c r="C103" s="8" t="s">
        <v>9</v>
      </c>
      <c r="D103" s="6">
        <v>60</v>
      </c>
      <c r="E103" s="8">
        <v>3</v>
      </c>
      <c r="F103" s="9">
        <v>0.44</v>
      </c>
      <c r="G103" s="8">
        <v>355</v>
      </c>
      <c r="H103" s="10">
        <f t="shared" si="3"/>
        <v>0.113003245</v>
      </c>
      <c r="I103" s="11" t="s">
        <v>54</v>
      </c>
    </row>
    <row r="104" spans="1:9" x14ac:dyDescent="0.2">
      <c r="A104" s="6" t="s">
        <v>20</v>
      </c>
      <c r="B104" s="7" t="s">
        <v>22</v>
      </c>
      <c r="C104" s="8" t="s">
        <v>9</v>
      </c>
      <c r="D104" s="6">
        <v>60</v>
      </c>
      <c r="E104" s="8">
        <v>4</v>
      </c>
      <c r="F104" s="9">
        <v>0.57999999999999996</v>
      </c>
      <c r="G104" s="8">
        <v>515</v>
      </c>
      <c r="H104" s="10">
        <f t="shared" si="3"/>
        <v>0.16393428500000001</v>
      </c>
      <c r="I104" s="11" t="s">
        <v>54</v>
      </c>
    </row>
    <row r="105" spans="1:9" x14ac:dyDescent="0.2">
      <c r="A105" s="6" t="s">
        <v>20</v>
      </c>
      <c r="B105" s="7" t="s">
        <v>22</v>
      </c>
      <c r="C105" s="8" t="s">
        <v>9</v>
      </c>
      <c r="D105" s="6">
        <v>60</v>
      </c>
      <c r="E105" s="8">
        <v>5</v>
      </c>
      <c r="F105" s="9">
        <v>0.71</v>
      </c>
      <c r="G105" s="8">
        <v>659</v>
      </c>
      <c r="H105" s="10">
        <f t="shared" si="3"/>
        <v>0.20977222100000001</v>
      </c>
      <c r="I105" s="11" t="s">
        <v>54</v>
      </c>
    </row>
    <row r="106" spans="1:9" x14ac:dyDescent="0.2">
      <c r="A106" s="6" t="s">
        <v>20</v>
      </c>
      <c r="B106" s="7" t="s">
        <v>22</v>
      </c>
      <c r="C106" s="8" t="s">
        <v>9</v>
      </c>
      <c r="D106" s="6">
        <v>60</v>
      </c>
      <c r="E106" s="8">
        <v>7</v>
      </c>
      <c r="F106" s="9">
        <v>0.87</v>
      </c>
      <c r="G106" s="8">
        <v>858</v>
      </c>
      <c r="H106" s="10">
        <f t="shared" si="3"/>
        <v>0.27311770200000002</v>
      </c>
      <c r="I106" s="11" t="s">
        <v>54</v>
      </c>
    </row>
    <row r="107" spans="1:9" x14ac:dyDescent="0.2">
      <c r="A107" s="6" t="s">
        <v>20</v>
      </c>
      <c r="B107" s="7" t="s">
        <v>22</v>
      </c>
      <c r="C107" s="8" t="s">
        <v>9</v>
      </c>
      <c r="D107" s="6">
        <v>60</v>
      </c>
      <c r="E107" s="8">
        <v>10</v>
      </c>
      <c r="F107" s="9">
        <v>0.98</v>
      </c>
      <c r="G107" s="8">
        <v>957</v>
      </c>
      <c r="H107" s="10">
        <f t="shared" si="3"/>
        <v>0.30463128300000003</v>
      </c>
      <c r="I107" s="11" t="s">
        <v>54</v>
      </c>
    </row>
    <row r="108" spans="1:9" x14ac:dyDescent="0.2">
      <c r="A108" s="31" t="s">
        <v>66</v>
      </c>
      <c r="B108" s="32" t="s">
        <v>55</v>
      </c>
      <c r="C108" s="33" t="s">
        <v>9</v>
      </c>
      <c r="D108" s="31">
        <v>60</v>
      </c>
      <c r="E108" s="33">
        <v>0</v>
      </c>
      <c r="F108" s="34">
        <v>0</v>
      </c>
      <c r="G108" s="33">
        <v>185</v>
      </c>
      <c r="H108" s="35">
        <f t="shared" si="3"/>
        <v>5.8889015000000003E-2</v>
      </c>
      <c r="I108" s="36" t="s">
        <v>54</v>
      </c>
    </row>
    <row r="109" spans="1:9" x14ac:dyDescent="0.2">
      <c r="A109" s="31" t="s">
        <v>66</v>
      </c>
      <c r="B109" s="32" t="s">
        <v>55</v>
      </c>
      <c r="C109" s="33" t="s">
        <v>9</v>
      </c>
      <c r="D109" s="31">
        <v>60</v>
      </c>
      <c r="E109" s="33">
        <v>1</v>
      </c>
      <c r="F109" s="34">
        <v>0.15</v>
      </c>
      <c r="G109" s="33">
        <v>318</v>
      </c>
      <c r="H109" s="35">
        <f t="shared" si="3"/>
        <v>0.10122544200000001</v>
      </c>
      <c r="I109" s="36" t="s">
        <v>54</v>
      </c>
    </row>
    <row r="110" spans="1:9" x14ac:dyDescent="0.2">
      <c r="A110" s="31" t="s">
        <v>66</v>
      </c>
      <c r="B110" s="32" t="s">
        <v>55</v>
      </c>
      <c r="C110" s="33" t="s">
        <v>9</v>
      </c>
      <c r="D110" s="31">
        <v>60</v>
      </c>
      <c r="E110" s="33">
        <v>2</v>
      </c>
      <c r="F110" s="34">
        <v>0.3</v>
      </c>
      <c r="G110" s="33">
        <v>447</v>
      </c>
      <c r="H110" s="35">
        <f t="shared" si="3"/>
        <v>0.14228859300000002</v>
      </c>
      <c r="I110" s="36" t="s">
        <v>54</v>
      </c>
    </row>
    <row r="111" spans="1:9" x14ac:dyDescent="0.2">
      <c r="A111" s="31" t="s">
        <v>66</v>
      </c>
      <c r="B111" s="32" t="s">
        <v>55</v>
      </c>
      <c r="C111" s="33" t="s">
        <v>9</v>
      </c>
      <c r="D111" s="31">
        <v>60</v>
      </c>
      <c r="E111" s="33">
        <v>3</v>
      </c>
      <c r="F111" s="34">
        <v>0.45</v>
      </c>
      <c r="G111" s="33">
        <v>609</v>
      </c>
      <c r="H111" s="35">
        <f t="shared" si="3"/>
        <v>0.193856271</v>
      </c>
      <c r="I111" s="36" t="s">
        <v>54</v>
      </c>
    </row>
    <row r="112" spans="1:9" x14ac:dyDescent="0.2">
      <c r="A112" s="31" t="s">
        <v>66</v>
      </c>
      <c r="B112" s="32" t="s">
        <v>55</v>
      </c>
      <c r="C112" s="33" t="s">
        <v>9</v>
      </c>
      <c r="D112" s="31">
        <v>60</v>
      </c>
      <c r="E112" s="33">
        <v>4</v>
      </c>
      <c r="F112" s="34">
        <v>0.59</v>
      </c>
      <c r="G112" s="33">
        <v>979</v>
      </c>
      <c r="H112" s="35">
        <f t="shared" si="3"/>
        <v>0.311634301</v>
      </c>
      <c r="I112" s="36" t="s">
        <v>54</v>
      </c>
    </row>
    <row r="113" spans="1:9" x14ac:dyDescent="0.2">
      <c r="A113" s="31" t="s">
        <v>66</v>
      </c>
      <c r="B113" s="32" t="s">
        <v>55</v>
      </c>
      <c r="C113" s="33" t="s">
        <v>9</v>
      </c>
      <c r="D113" s="31">
        <v>60</v>
      </c>
      <c r="E113" s="33">
        <v>5</v>
      </c>
      <c r="F113" s="34">
        <v>0.72</v>
      </c>
      <c r="G113" s="33">
        <v>1337</v>
      </c>
      <c r="H113" s="35">
        <f t="shared" si="3"/>
        <v>0.42559250300000001</v>
      </c>
      <c r="I113" s="36" t="s">
        <v>54</v>
      </c>
    </row>
    <row r="114" spans="1:9" x14ac:dyDescent="0.2">
      <c r="A114" s="31" t="s">
        <v>66</v>
      </c>
      <c r="B114" s="32" t="s">
        <v>55</v>
      </c>
      <c r="C114" s="33" t="s">
        <v>9</v>
      </c>
      <c r="D114" s="31">
        <v>60</v>
      </c>
      <c r="E114" s="33">
        <v>7</v>
      </c>
      <c r="F114" s="34">
        <v>0.88</v>
      </c>
      <c r="G114" s="33">
        <v>1741</v>
      </c>
      <c r="H114" s="35">
        <f t="shared" si="3"/>
        <v>0.5541933790000001</v>
      </c>
      <c r="I114" s="36" t="s">
        <v>54</v>
      </c>
    </row>
    <row r="115" spans="1:9" x14ac:dyDescent="0.2">
      <c r="A115" s="31" t="s">
        <v>66</v>
      </c>
      <c r="B115" s="32" t="s">
        <v>55</v>
      </c>
      <c r="C115" s="33" t="s">
        <v>9</v>
      </c>
      <c r="D115" s="31">
        <v>60</v>
      </c>
      <c r="E115" s="33">
        <v>10</v>
      </c>
      <c r="F115" s="34">
        <v>0.99</v>
      </c>
      <c r="G115" s="33">
        <v>1988</v>
      </c>
      <c r="H115" s="35">
        <f t="shared" si="3"/>
        <v>0.63281817200000001</v>
      </c>
      <c r="I115" s="36" t="s">
        <v>54</v>
      </c>
    </row>
    <row r="116" spans="1:9" x14ac:dyDescent="0.2">
      <c r="A116" s="12" t="s">
        <v>46</v>
      </c>
      <c r="B116" s="13" t="s">
        <v>38</v>
      </c>
      <c r="C116" s="14" t="s">
        <v>9</v>
      </c>
      <c r="D116" s="12">
        <v>60</v>
      </c>
      <c r="E116" s="14">
        <v>0</v>
      </c>
      <c r="F116" s="15">
        <v>0</v>
      </c>
      <c r="G116" s="14">
        <v>148</v>
      </c>
      <c r="H116" s="16">
        <f t="shared" si="3"/>
        <v>4.7111212E-2</v>
      </c>
      <c r="I116" s="17" t="s">
        <v>70</v>
      </c>
    </row>
    <row r="117" spans="1:9" x14ac:dyDescent="0.2">
      <c r="A117" s="12" t="s">
        <v>46</v>
      </c>
      <c r="B117" s="13" t="s">
        <v>38</v>
      </c>
      <c r="C117" s="14" t="s">
        <v>9</v>
      </c>
      <c r="D117" s="12">
        <v>60</v>
      </c>
      <c r="E117" s="14">
        <v>1</v>
      </c>
      <c r="F117" s="15">
        <v>0.15</v>
      </c>
      <c r="G117" s="14">
        <v>179</v>
      </c>
      <c r="H117" s="16">
        <f t="shared" si="3"/>
        <v>5.6979101000000004E-2</v>
      </c>
      <c r="I117" s="17" t="s">
        <v>70</v>
      </c>
    </row>
    <row r="118" spans="1:9" x14ac:dyDescent="0.2">
      <c r="A118" s="12" t="s">
        <v>46</v>
      </c>
      <c r="B118" s="13" t="s">
        <v>39</v>
      </c>
      <c r="C118" s="14" t="s">
        <v>9</v>
      </c>
      <c r="D118" s="12">
        <v>60</v>
      </c>
      <c r="E118" s="14">
        <v>2</v>
      </c>
      <c r="F118" s="15">
        <v>0.28999999999999998</v>
      </c>
      <c r="G118" s="14">
        <v>266</v>
      </c>
      <c r="H118" s="16">
        <f t="shared" si="3"/>
        <v>8.4672854000000006E-2</v>
      </c>
      <c r="I118" s="17" t="s">
        <v>70</v>
      </c>
    </row>
    <row r="119" spans="1:9" x14ac:dyDescent="0.2">
      <c r="A119" s="12" t="s">
        <v>46</v>
      </c>
      <c r="B119" s="13" t="s">
        <v>39</v>
      </c>
      <c r="C119" s="14" t="s">
        <v>9</v>
      </c>
      <c r="D119" s="12">
        <v>60</v>
      </c>
      <c r="E119" s="14">
        <v>3</v>
      </c>
      <c r="F119" s="15">
        <v>0.42</v>
      </c>
      <c r="G119" s="14">
        <v>396</v>
      </c>
      <c r="H119" s="16">
        <f t="shared" si="3"/>
        <v>0.12605432400000002</v>
      </c>
      <c r="I119" s="17" t="s">
        <v>70</v>
      </c>
    </row>
    <row r="120" spans="1:9" x14ac:dyDescent="0.2">
      <c r="A120" s="12" t="s">
        <v>46</v>
      </c>
      <c r="B120" s="13" t="s">
        <v>39</v>
      </c>
      <c r="C120" s="14" t="s">
        <v>9</v>
      </c>
      <c r="D120" s="12">
        <v>60</v>
      </c>
      <c r="E120" s="14">
        <v>4</v>
      </c>
      <c r="F120" s="15">
        <v>0.55000000000000004</v>
      </c>
      <c r="G120" s="14">
        <v>497</v>
      </c>
      <c r="H120" s="16">
        <f t="shared" si="3"/>
        <v>0.158204543</v>
      </c>
      <c r="I120" s="17" t="s">
        <v>70</v>
      </c>
    </row>
    <row r="121" spans="1:9" x14ac:dyDescent="0.2">
      <c r="A121" s="12" t="s">
        <v>46</v>
      </c>
      <c r="B121" s="13" t="s">
        <v>39</v>
      </c>
      <c r="C121" s="14" t="s">
        <v>9</v>
      </c>
      <c r="D121" s="12">
        <v>60</v>
      </c>
      <c r="E121" s="14">
        <v>5</v>
      </c>
      <c r="F121" s="15">
        <v>0.68</v>
      </c>
      <c r="G121" s="14">
        <v>606</v>
      </c>
      <c r="H121" s="16">
        <f t="shared" si="3"/>
        <v>0.19290131400000002</v>
      </c>
      <c r="I121" s="17" t="s">
        <v>70</v>
      </c>
    </row>
    <row r="122" spans="1:9" x14ac:dyDescent="0.2">
      <c r="A122" s="12" t="s">
        <v>46</v>
      </c>
      <c r="B122" s="13" t="s">
        <v>39</v>
      </c>
      <c r="C122" s="14" t="s">
        <v>9</v>
      </c>
      <c r="D122" s="12">
        <v>60</v>
      </c>
      <c r="E122" s="14">
        <v>7</v>
      </c>
      <c r="F122" s="15">
        <v>0.84</v>
      </c>
      <c r="G122" s="14">
        <v>741</v>
      </c>
      <c r="H122" s="16">
        <f t="shared" si="3"/>
        <v>0.23587437900000002</v>
      </c>
      <c r="I122" s="17" t="s">
        <v>70</v>
      </c>
    </row>
    <row r="123" spans="1:9" x14ac:dyDescent="0.2">
      <c r="A123" s="12" t="s">
        <v>46</v>
      </c>
      <c r="B123" s="13" t="s">
        <v>39</v>
      </c>
      <c r="C123" s="14" t="s">
        <v>9</v>
      </c>
      <c r="D123" s="12">
        <v>60</v>
      </c>
      <c r="E123" s="14">
        <v>10</v>
      </c>
      <c r="F123" s="15">
        <v>0.93</v>
      </c>
      <c r="G123" s="14">
        <v>839</v>
      </c>
      <c r="H123" s="16">
        <f t="shared" si="3"/>
        <v>0.26706964100000002</v>
      </c>
      <c r="I123" s="17" t="s">
        <v>70</v>
      </c>
    </row>
    <row r="124" spans="1:9" x14ac:dyDescent="0.2">
      <c r="A124" s="6" t="s">
        <v>45</v>
      </c>
      <c r="B124" s="7" t="s">
        <v>35</v>
      </c>
      <c r="C124" s="8" t="s">
        <v>9</v>
      </c>
      <c r="D124" s="6">
        <v>60</v>
      </c>
      <c r="E124" s="8">
        <v>0</v>
      </c>
      <c r="F124" s="9">
        <v>0</v>
      </c>
      <c r="G124" s="8">
        <v>125</v>
      </c>
      <c r="H124" s="10">
        <f t="shared" si="3"/>
        <v>3.9789875000000002E-2</v>
      </c>
      <c r="I124" s="11" t="s">
        <v>71</v>
      </c>
    </row>
    <row r="125" spans="1:9" x14ac:dyDescent="0.2">
      <c r="A125" s="6" t="s">
        <v>45</v>
      </c>
      <c r="B125" s="7" t="s">
        <v>35</v>
      </c>
      <c r="C125" s="8" t="s">
        <v>9</v>
      </c>
      <c r="D125" s="6">
        <v>60</v>
      </c>
      <c r="E125" s="8">
        <v>1</v>
      </c>
      <c r="F125" s="9">
        <v>0.15</v>
      </c>
      <c r="G125" s="8">
        <v>283</v>
      </c>
      <c r="H125" s="10">
        <f t="shared" si="3"/>
        <v>9.008427699999999E-2</v>
      </c>
      <c r="I125" s="11" t="s">
        <v>71</v>
      </c>
    </row>
    <row r="126" spans="1:9" x14ac:dyDescent="0.2">
      <c r="A126" s="6" t="s">
        <v>45</v>
      </c>
      <c r="B126" s="7" t="s">
        <v>37</v>
      </c>
      <c r="C126" s="8" t="s">
        <v>9</v>
      </c>
      <c r="D126" s="6">
        <v>60</v>
      </c>
      <c r="E126" s="8">
        <v>2</v>
      </c>
      <c r="F126" s="9">
        <v>0.3</v>
      </c>
      <c r="G126" s="8">
        <v>386</v>
      </c>
      <c r="H126" s="10">
        <f t="shared" si="3"/>
        <v>0.12287113400000001</v>
      </c>
      <c r="I126" s="11" t="s">
        <v>71</v>
      </c>
    </row>
    <row r="127" spans="1:9" x14ac:dyDescent="0.2">
      <c r="A127" s="6" t="s">
        <v>45</v>
      </c>
      <c r="B127" s="7" t="s">
        <v>37</v>
      </c>
      <c r="C127" s="8" t="s">
        <v>9</v>
      </c>
      <c r="D127" s="6">
        <v>60</v>
      </c>
      <c r="E127" s="8">
        <v>3</v>
      </c>
      <c r="F127" s="9">
        <v>0.44</v>
      </c>
      <c r="G127" s="8">
        <v>487</v>
      </c>
      <c r="H127" s="10">
        <f t="shared" si="3"/>
        <v>0.155021353</v>
      </c>
      <c r="I127" s="11" t="s">
        <v>71</v>
      </c>
    </row>
    <row r="128" spans="1:9" x14ac:dyDescent="0.2">
      <c r="A128" s="6" t="s">
        <v>45</v>
      </c>
      <c r="B128" s="7" t="s">
        <v>37</v>
      </c>
      <c r="C128" s="8" t="s">
        <v>9</v>
      </c>
      <c r="D128" s="6">
        <v>60</v>
      </c>
      <c r="E128" s="8">
        <v>4</v>
      </c>
      <c r="F128" s="9">
        <v>0.56999999999999995</v>
      </c>
      <c r="G128" s="8">
        <v>582</v>
      </c>
      <c r="H128" s="10">
        <f t="shared" si="3"/>
        <v>0.185261658</v>
      </c>
      <c r="I128" s="11" t="s">
        <v>71</v>
      </c>
    </row>
    <row r="129" spans="1:9" x14ac:dyDescent="0.2">
      <c r="A129" s="6" t="s">
        <v>45</v>
      </c>
      <c r="B129" s="7" t="s">
        <v>37</v>
      </c>
      <c r="C129" s="8" t="s">
        <v>9</v>
      </c>
      <c r="D129" s="6">
        <v>60</v>
      </c>
      <c r="E129" s="8">
        <v>5</v>
      </c>
      <c r="F129" s="9">
        <v>0.7</v>
      </c>
      <c r="G129" s="8">
        <v>655</v>
      </c>
      <c r="H129" s="10">
        <f t="shared" si="3"/>
        <v>0.20849894500000002</v>
      </c>
      <c r="I129" s="11" t="s">
        <v>71</v>
      </c>
    </row>
    <row r="130" spans="1:9" x14ac:dyDescent="0.2">
      <c r="A130" s="6" t="s">
        <v>45</v>
      </c>
      <c r="B130" s="7" t="s">
        <v>37</v>
      </c>
      <c r="C130" s="8" t="s">
        <v>9</v>
      </c>
      <c r="D130" s="6">
        <v>60</v>
      </c>
      <c r="E130" s="8">
        <v>7</v>
      </c>
      <c r="F130" s="9">
        <v>0.87</v>
      </c>
      <c r="G130" s="8">
        <v>744</v>
      </c>
      <c r="H130" s="10">
        <f t="shared" ref="H130:H187" si="4">G130/1000*0.318319</f>
        <v>0.236829336</v>
      </c>
      <c r="I130" s="11" t="s">
        <v>70</v>
      </c>
    </row>
    <row r="131" spans="1:9" x14ac:dyDescent="0.2">
      <c r="A131" s="6" t="s">
        <v>45</v>
      </c>
      <c r="B131" s="7" t="s">
        <v>37</v>
      </c>
      <c r="C131" s="8" t="s">
        <v>9</v>
      </c>
      <c r="D131" s="6">
        <v>60</v>
      </c>
      <c r="E131" s="8">
        <v>10</v>
      </c>
      <c r="F131" s="9">
        <v>0.98</v>
      </c>
      <c r="G131" s="8">
        <v>802</v>
      </c>
      <c r="H131" s="10">
        <f t="shared" si="4"/>
        <v>0.25529183800000005</v>
      </c>
      <c r="I131" s="11" t="s">
        <v>70</v>
      </c>
    </row>
    <row r="132" spans="1:9" x14ac:dyDescent="0.2">
      <c r="A132" s="20" t="s">
        <v>73</v>
      </c>
      <c r="B132" s="19" t="s">
        <v>72</v>
      </c>
      <c r="C132" s="20" t="s">
        <v>9</v>
      </c>
      <c r="D132" s="18">
        <v>60</v>
      </c>
      <c r="E132" s="20">
        <v>0</v>
      </c>
      <c r="F132" s="21">
        <v>0</v>
      </c>
      <c r="G132" s="20">
        <v>15</v>
      </c>
      <c r="H132" s="22">
        <f t="shared" si="4"/>
        <v>4.7747850000000001E-3</v>
      </c>
      <c r="I132" s="23" t="s">
        <v>70</v>
      </c>
    </row>
    <row r="133" spans="1:9" x14ac:dyDescent="0.2">
      <c r="A133" s="20" t="s">
        <v>73</v>
      </c>
      <c r="B133" s="19" t="s">
        <v>72</v>
      </c>
      <c r="C133" s="20" t="s">
        <v>9</v>
      </c>
      <c r="D133" s="18">
        <v>60</v>
      </c>
      <c r="E133" s="20">
        <v>1</v>
      </c>
      <c r="F133" s="21">
        <v>0.15</v>
      </c>
      <c r="G133" s="20">
        <v>57</v>
      </c>
      <c r="H133" s="22">
        <f t="shared" si="4"/>
        <v>1.8144183000000001E-2</v>
      </c>
      <c r="I133" s="23" t="s">
        <v>70</v>
      </c>
    </row>
    <row r="134" spans="1:9" x14ac:dyDescent="0.2">
      <c r="A134" s="20" t="s">
        <v>73</v>
      </c>
      <c r="B134" s="19" t="s">
        <v>72</v>
      </c>
      <c r="C134" s="20" t="s">
        <v>9</v>
      </c>
      <c r="D134" s="18">
        <v>60</v>
      </c>
      <c r="E134" s="20">
        <v>2</v>
      </c>
      <c r="F134" s="21">
        <v>0.3</v>
      </c>
      <c r="G134" s="20">
        <v>178</v>
      </c>
      <c r="H134" s="22">
        <f t="shared" si="4"/>
        <v>5.6660782E-2</v>
      </c>
      <c r="I134" s="23" t="s">
        <v>70</v>
      </c>
    </row>
    <row r="135" spans="1:9" x14ac:dyDescent="0.2">
      <c r="A135" s="20" t="s">
        <v>73</v>
      </c>
      <c r="B135" s="19" t="s">
        <v>72</v>
      </c>
      <c r="C135" s="20" t="s">
        <v>9</v>
      </c>
      <c r="D135" s="18">
        <v>60</v>
      </c>
      <c r="E135" s="20">
        <v>3</v>
      </c>
      <c r="F135" s="21">
        <v>0.44</v>
      </c>
      <c r="G135" s="20">
        <v>261</v>
      </c>
      <c r="H135" s="22">
        <f t="shared" si="4"/>
        <v>8.3081259000000005E-2</v>
      </c>
      <c r="I135" s="23" t="s">
        <v>70</v>
      </c>
    </row>
    <row r="136" spans="1:9" x14ac:dyDescent="0.2">
      <c r="A136" s="20" t="s">
        <v>73</v>
      </c>
      <c r="B136" s="19" t="s">
        <v>72</v>
      </c>
      <c r="C136" s="20" t="s">
        <v>9</v>
      </c>
      <c r="D136" s="18">
        <v>60</v>
      </c>
      <c r="E136" s="20">
        <v>4</v>
      </c>
      <c r="F136" s="21">
        <v>0.56999999999999995</v>
      </c>
      <c r="G136" s="20">
        <v>351</v>
      </c>
      <c r="H136" s="22">
        <f t="shared" si="4"/>
        <v>0.111729969</v>
      </c>
      <c r="I136" s="23" t="s">
        <v>70</v>
      </c>
    </row>
    <row r="137" spans="1:9" x14ac:dyDescent="0.2">
      <c r="A137" s="20" t="s">
        <v>73</v>
      </c>
      <c r="B137" s="19" t="s">
        <v>72</v>
      </c>
      <c r="C137" s="20" t="s">
        <v>19</v>
      </c>
      <c r="D137" s="18">
        <v>60</v>
      </c>
      <c r="E137" s="20">
        <v>5</v>
      </c>
      <c r="F137" s="21">
        <v>0.7</v>
      </c>
      <c r="G137" s="20">
        <v>457</v>
      </c>
      <c r="H137" s="22">
        <f t="shared" si="4"/>
        <v>0.14547178300000002</v>
      </c>
      <c r="I137" s="23" t="s">
        <v>70</v>
      </c>
    </row>
    <row r="138" spans="1:9" x14ac:dyDescent="0.2">
      <c r="A138" s="20" t="s">
        <v>73</v>
      </c>
      <c r="B138" s="19" t="s">
        <v>72</v>
      </c>
      <c r="C138" s="20" t="s">
        <v>19</v>
      </c>
      <c r="D138" s="18">
        <v>60</v>
      </c>
      <c r="E138" s="20">
        <v>7</v>
      </c>
      <c r="F138" s="21">
        <v>0.87</v>
      </c>
      <c r="G138" s="20">
        <v>608</v>
      </c>
      <c r="H138" s="22">
        <f t="shared" si="4"/>
        <v>0.19353795200000001</v>
      </c>
      <c r="I138" s="23" t="s">
        <v>70</v>
      </c>
    </row>
    <row r="139" spans="1:9" x14ac:dyDescent="0.2">
      <c r="A139" s="20" t="s">
        <v>73</v>
      </c>
      <c r="B139" s="19" t="s">
        <v>72</v>
      </c>
      <c r="C139" s="20" t="s">
        <v>19</v>
      </c>
      <c r="D139" s="18">
        <v>60</v>
      </c>
      <c r="E139" s="20">
        <v>10</v>
      </c>
      <c r="F139" s="21">
        <v>0.97</v>
      </c>
      <c r="G139" s="20">
        <v>740</v>
      </c>
      <c r="H139" s="22">
        <f t="shared" si="4"/>
        <v>0.23555606000000001</v>
      </c>
      <c r="I139" s="23" t="s">
        <v>70</v>
      </c>
    </row>
    <row r="140" spans="1:9" x14ac:dyDescent="0.2">
      <c r="A140" s="33" t="s">
        <v>76</v>
      </c>
      <c r="B140" s="32" t="s">
        <v>77</v>
      </c>
      <c r="C140" s="33" t="s">
        <v>9</v>
      </c>
      <c r="D140" s="31">
        <v>60</v>
      </c>
      <c r="E140" s="33">
        <v>0</v>
      </c>
      <c r="F140" s="34">
        <v>0</v>
      </c>
      <c r="G140" s="33">
        <v>57</v>
      </c>
      <c r="H140" s="35">
        <f t="shared" si="4"/>
        <v>1.8144183000000001E-2</v>
      </c>
      <c r="I140" s="36" t="s">
        <v>70</v>
      </c>
    </row>
    <row r="141" spans="1:9" x14ac:dyDescent="0.2">
      <c r="A141" s="33" t="s">
        <v>76</v>
      </c>
      <c r="B141" s="32" t="s">
        <v>77</v>
      </c>
      <c r="C141" s="33" t="s">
        <v>9</v>
      </c>
      <c r="D141" s="31">
        <v>60</v>
      </c>
      <c r="E141" s="33">
        <v>1</v>
      </c>
      <c r="F141" s="34">
        <v>0.15</v>
      </c>
      <c r="G141" s="33">
        <v>88</v>
      </c>
      <c r="H141" s="35">
        <f t="shared" si="4"/>
        <v>2.8012071999999999E-2</v>
      </c>
      <c r="I141" s="36" t="s">
        <v>70</v>
      </c>
    </row>
    <row r="142" spans="1:9" x14ac:dyDescent="0.2">
      <c r="A142" s="33" t="s">
        <v>76</v>
      </c>
      <c r="B142" s="32" t="s">
        <v>77</v>
      </c>
      <c r="C142" s="33" t="s">
        <v>9</v>
      </c>
      <c r="D142" s="31">
        <v>60</v>
      </c>
      <c r="E142" s="33">
        <v>2</v>
      </c>
      <c r="F142" s="34">
        <v>0.28999999999999998</v>
      </c>
      <c r="G142" s="33">
        <v>134</v>
      </c>
      <c r="H142" s="35">
        <f t="shared" si="4"/>
        <v>4.2654746000000007E-2</v>
      </c>
      <c r="I142" s="36" t="s">
        <v>70</v>
      </c>
    </row>
    <row r="143" spans="1:9" x14ac:dyDescent="0.2">
      <c r="A143" s="33" t="s">
        <v>76</v>
      </c>
      <c r="B143" s="32" t="s">
        <v>77</v>
      </c>
      <c r="C143" s="33" t="s">
        <v>9</v>
      </c>
      <c r="D143" s="31">
        <v>60</v>
      </c>
      <c r="E143" s="33">
        <v>3</v>
      </c>
      <c r="F143" s="34">
        <v>0.43</v>
      </c>
      <c r="G143" s="33">
        <v>225</v>
      </c>
      <c r="H143" s="35">
        <f t="shared" si="4"/>
        <v>7.1621775000000013E-2</v>
      </c>
      <c r="I143" s="36" t="s">
        <v>70</v>
      </c>
    </row>
    <row r="144" spans="1:9" x14ac:dyDescent="0.2">
      <c r="A144" s="33" t="s">
        <v>76</v>
      </c>
      <c r="B144" s="32" t="s">
        <v>77</v>
      </c>
      <c r="C144" s="33" t="s">
        <v>9</v>
      </c>
      <c r="D144" s="31">
        <v>60</v>
      </c>
      <c r="E144" s="33">
        <v>4</v>
      </c>
      <c r="F144" s="34">
        <v>0.56999999999999995</v>
      </c>
      <c r="G144" s="33">
        <v>319</v>
      </c>
      <c r="H144" s="35">
        <f t="shared" si="4"/>
        <v>0.10154376100000001</v>
      </c>
      <c r="I144" s="36" t="s">
        <v>70</v>
      </c>
    </row>
    <row r="145" spans="1:9" x14ac:dyDescent="0.2">
      <c r="A145" s="33" t="s">
        <v>76</v>
      </c>
      <c r="B145" s="32" t="s">
        <v>77</v>
      </c>
      <c r="C145" s="33" t="s">
        <v>19</v>
      </c>
      <c r="D145" s="31">
        <v>60</v>
      </c>
      <c r="E145" s="33">
        <v>5</v>
      </c>
      <c r="F145" s="34">
        <v>0.7</v>
      </c>
      <c r="G145" s="33">
        <v>446</v>
      </c>
      <c r="H145" s="35">
        <f t="shared" si="4"/>
        <v>0.14197027400000001</v>
      </c>
      <c r="I145" s="36" t="s">
        <v>70</v>
      </c>
    </row>
    <row r="146" spans="1:9" x14ac:dyDescent="0.2">
      <c r="A146" s="33" t="s">
        <v>76</v>
      </c>
      <c r="B146" s="32" t="s">
        <v>77</v>
      </c>
      <c r="C146" s="33" t="s">
        <v>19</v>
      </c>
      <c r="D146" s="31">
        <v>60</v>
      </c>
      <c r="E146" s="33">
        <v>7</v>
      </c>
      <c r="F146" s="34">
        <v>0.86</v>
      </c>
      <c r="G146" s="33">
        <v>648</v>
      </c>
      <c r="H146" s="35">
        <f t="shared" si="4"/>
        <v>0.20627071200000002</v>
      </c>
      <c r="I146" s="36" t="s">
        <v>70</v>
      </c>
    </row>
    <row r="147" spans="1:9" x14ac:dyDescent="0.2">
      <c r="A147" s="33" t="s">
        <v>76</v>
      </c>
      <c r="B147" s="32" t="s">
        <v>77</v>
      </c>
      <c r="C147" s="33" t="s">
        <v>19</v>
      </c>
      <c r="D147" s="31">
        <v>60</v>
      </c>
      <c r="E147" s="33">
        <v>10</v>
      </c>
      <c r="F147" s="34">
        <v>0.97</v>
      </c>
      <c r="G147" s="33">
        <v>708</v>
      </c>
      <c r="H147" s="35">
        <f t="shared" si="4"/>
        <v>0.22536985200000001</v>
      </c>
      <c r="I147" s="36" t="s">
        <v>70</v>
      </c>
    </row>
    <row r="148" spans="1:9" x14ac:dyDescent="0.2">
      <c r="A148" s="14" t="s">
        <v>74</v>
      </c>
      <c r="B148" s="13" t="s">
        <v>80</v>
      </c>
      <c r="C148" s="14" t="s">
        <v>9</v>
      </c>
      <c r="D148" s="12">
        <v>60</v>
      </c>
      <c r="E148" s="14">
        <v>0</v>
      </c>
      <c r="F148" s="15">
        <v>0</v>
      </c>
      <c r="G148" s="14">
        <v>-26</v>
      </c>
      <c r="H148" s="16">
        <f t="shared" si="4"/>
        <v>-8.276294E-3</v>
      </c>
      <c r="I148" s="17" t="s">
        <v>70</v>
      </c>
    </row>
    <row r="149" spans="1:9" x14ac:dyDescent="0.2">
      <c r="A149" s="14" t="s">
        <v>74</v>
      </c>
      <c r="B149" s="13" t="s">
        <v>80</v>
      </c>
      <c r="C149" s="14" t="s">
        <v>9</v>
      </c>
      <c r="D149" s="12">
        <v>60</v>
      </c>
      <c r="E149" s="14">
        <v>1</v>
      </c>
      <c r="F149" s="15">
        <v>0.15</v>
      </c>
      <c r="G149" s="14">
        <v>10</v>
      </c>
      <c r="H149" s="16">
        <f t="shared" si="4"/>
        <v>3.1831900000000002E-3</v>
      </c>
      <c r="I149" s="17" t="s">
        <v>70</v>
      </c>
    </row>
    <row r="150" spans="1:9" x14ac:dyDescent="0.2">
      <c r="A150" s="14" t="s">
        <v>74</v>
      </c>
      <c r="B150" s="13" t="s">
        <v>80</v>
      </c>
      <c r="C150" s="14" t="s">
        <v>9</v>
      </c>
      <c r="D150" s="12">
        <v>60</v>
      </c>
      <c r="E150" s="14">
        <v>2</v>
      </c>
      <c r="F150" s="15">
        <v>0.28999999999999998</v>
      </c>
      <c r="G150" s="14">
        <v>69</v>
      </c>
      <c r="H150" s="16">
        <f t="shared" si="4"/>
        <v>2.1964011000000002E-2</v>
      </c>
      <c r="I150" s="17" t="s">
        <v>70</v>
      </c>
    </row>
    <row r="151" spans="1:9" x14ac:dyDescent="0.2">
      <c r="A151" s="14" t="s">
        <v>74</v>
      </c>
      <c r="B151" s="13" t="s">
        <v>80</v>
      </c>
      <c r="C151" s="14" t="s">
        <v>9</v>
      </c>
      <c r="D151" s="12">
        <v>60</v>
      </c>
      <c r="E151" s="14">
        <v>3</v>
      </c>
      <c r="F151" s="15">
        <v>0.44</v>
      </c>
      <c r="G151" s="14">
        <v>236</v>
      </c>
      <c r="H151" s="16">
        <f t="shared" si="4"/>
        <v>7.5123283999999999E-2</v>
      </c>
      <c r="I151" s="17" t="s">
        <v>70</v>
      </c>
    </row>
    <row r="152" spans="1:9" x14ac:dyDescent="0.2">
      <c r="A152" s="14" t="s">
        <v>74</v>
      </c>
      <c r="B152" s="13" t="s">
        <v>80</v>
      </c>
      <c r="C152" s="14" t="s">
        <v>9</v>
      </c>
      <c r="D152" s="12">
        <v>60</v>
      </c>
      <c r="E152" s="14">
        <v>4</v>
      </c>
      <c r="F152" s="15">
        <v>0.56999999999999995</v>
      </c>
      <c r="G152" s="14">
        <v>394</v>
      </c>
      <c r="H152" s="16">
        <f t="shared" si="4"/>
        <v>0.125417686</v>
      </c>
      <c r="I152" s="17" t="s">
        <v>70</v>
      </c>
    </row>
    <row r="153" spans="1:9" x14ac:dyDescent="0.2">
      <c r="A153" s="14" t="s">
        <v>74</v>
      </c>
      <c r="B153" s="13" t="s">
        <v>80</v>
      </c>
      <c r="C153" s="14" t="s">
        <v>19</v>
      </c>
      <c r="D153" s="12">
        <v>60</v>
      </c>
      <c r="E153" s="14">
        <v>5</v>
      </c>
      <c r="F153" s="15">
        <v>0.7</v>
      </c>
      <c r="G153" s="14">
        <v>645</v>
      </c>
      <c r="H153" s="16">
        <f t="shared" si="4"/>
        <v>0.20531575500000002</v>
      </c>
      <c r="I153" s="17" t="s">
        <v>70</v>
      </c>
    </row>
    <row r="154" spans="1:9" x14ac:dyDescent="0.2">
      <c r="A154" s="14" t="s">
        <v>74</v>
      </c>
      <c r="B154" s="13" t="s">
        <v>80</v>
      </c>
      <c r="C154" s="14" t="s">
        <v>19</v>
      </c>
      <c r="D154" s="12">
        <v>60</v>
      </c>
      <c r="E154" s="14">
        <v>7</v>
      </c>
      <c r="F154" s="15">
        <v>0.87</v>
      </c>
      <c r="G154" s="14">
        <v>838</v>
      </c>
      <c r="H154" s="16">
        <f t="shared" si="4"/>
        <v>0.26675132200000001</v>
      </c>
      <c r="I154" s="17" t="s">
        <v>70</v>
      </c>
    </row>
    <row r="155" spans="1:9" x14ac:dyDescent="0.2">
      <c r="A155" s="14" t="s">
        <v>74</v>
      </c>
      <c r="B155" s="13" t="s">
        <v>80</v>
      </c>
      <c r="C155" s="14" t="s">
        <v>19</v>
      </c>
      <c r="D155" s="12">
        <v>60</v>
      </c>
      <c r="E155" s="14">
        <v>10</v>
      </c>
      <c r="F155" s="15">
        <v>0.97</v>
      </c>
      <c r="G155" s="14">
        <v>996</v>
      </c>
      <c r="H155" s="16">
        <f t="shared" si="4"/>
        <v>0.31704572400000003</v>
      </c>
      <c r="I155" s="17" t="s">
        <v>70</v>
      </c>
    </row>
    <row r="156" spans="1:9" x14ac:dyDescent="0.2">
      <c r="A156" s="6" t="s">
        <v>82</v>
      </c>
      <c r="B156" s="7" t="s">
        <v>81</v>
      </c>
      <c r="C156" s="8" t="s">
        <v>9</v>
      </c>
      <c r="D156" s="6">
        <v>60</v>
      </c>
      <c r="E156" s="8">
        <v>0</v>
      </c>
      <c r="F156" s="9">
        <v>0</v>
      </c>
      <c r="G156" s="8">
        <v>68</v>
      </c>
      <c r="H156" s="10">
        <f t="shared" si="4"/>
        <v>2.1645692000000001E-2</v>
      </c>
      <c r="I156" s="11" t="s">
        <v>85</v>
      </c>
    </row>
    <row r="157" spans="1:9" x14ac:dyDescent="0.2">
      <c r="A157" s="6" t="s">
        <v>82</v>
      </c>
      <c r="B157" s="7" t="s">
        <v>81</v>
      </c>
      <c r="C157" s="8" t="s">
        <v>9</v>
      </c>
      <c r="D157" s="6">
        <v>60</v>
      </c>
      <c r="E157" s="8">
        <v>1</v>
      </c>
      <c r="F157" s="9">
        <v>0.15</v>
      </c>
      <c r="G157" s="8">
        <v>88</v>
      </c>
      <c r="H157" s="10">
        <f t="shared" si="4"/>
        <v>2.8012071999999999E-2</v>
      </c>
      <c r="I157" s="11" t="s">
        <v>85</v>
      </c>
    </row>
    <row r="158" spans="1:9" x14ac:dyDescent="0.2">
      <c r="A158" s="6" t="s">
        <v>82</v>
      </c>
      <c r="B158" s="7" t="s">
        <v>81</v>
      </c>
      <c r="C158" s="8" t="s">
        <v>9</v>
      </c>
      <c r="D158" s="6">
        <v>60</v>
      </c>
      <c r="E158" s="8">
        <v>2</v>
      </c>
      <c r="F158" s="9">
        <v>0.3</v>
      </c>
      <c r="G158" s="8">
        <v>155</v>
      </c>
      <c r="H158" s="10">
        <f t="shared" si="4"/>
        <v>4.9339445000000003E-2</v>
      </c>
      <c r="I158" s="11" t="s">
        <v>85</v>
      </c>
    </row>
    <row r="159" spans="1:9" x14ac:dyDescent="0.2">
      <c r="A159" s="6" t="s">
        <v>82</v>
      </c>
      <c r="B159" s="7" t="s">
        <v>81</v>
      </c>
      <c r="C159" s="8" t="s">
        <v>9</v>
      </c>
      <c r="D159" s="6">
        <v>60</v>
      </c>
      <c r="E159" s="8">
        <v>3</v>
      </c>
      <c r="F159" s="9">
        <v>0.44</v>
      </c>
      <c r="G159" s="8">
        <v>259</v>
      </c>
      <c r="H159" s="10">
        <f t="shared" si="4"/>
        <v>8.244462100000001E-2</v>
      </c>
      <c r="I159" s="11" t="s">
        <v>85</v>
      </c>
    </row>
    <row r="160" spans="1:9" x14ac:dyDescent="0.2">
      <c r="A160" s="6" t="s">
        <v>82</v>
      </c>
      <c r="B160" s="7" t="s">
        <v>81</v>
      </c>
      <c r="C160" s="8" t="s">
        <v>9</v>
      </c>
      <c r="D160" s="6">
        <v>60</v>
      </c>
      <c r="E160" s="8">
        <v>4</v>
      </c>
      <c r="F160" s="9">
        <v>0.57999999999999996</v>
      </c>
      <c r="G160" s="8">
        <v>384</v>
      </c>
      <c r="H160" s="10">
        <f t="shared" si="4"/>
        <v>0.12223449600000001</v>
      </c>
      <c r="I160" s="11" t="s">
        <v>85</v>
      </c>
    </row>
    <row r="161" spans="1:9" x14ac:dyDescent="0.2">
      <c r="A161" s="6" t="s">
        <v>82</v>
      </c>
      <c r="B161" s="7" t="s">
        <v>81</v>
      </c>
      <c r="C161" s="8" t="s">
        <v>9</v>
      </c>
      <c r="D161" s="6">
        <v>60</v>
      </c>
      <c r="E161" s="8">
        <v>5</v>
      </c>
      <c r="F161" s="9">
        <v>0.7</v>
      </c>
      <c r="G161" s="8">
        <v>505</v>
      </c>
      <c r="H161" s="10">
        <f t="shared" si="4"/>
        <v>0.16075109500000001</v>
      </c>
      <c r="I161" s="11" t="s">
        <v>85</v>
      </c>
    </row>
    <row r="162" spans="1:9" x14ac:dyDescent="0.2">
      <c r="A162" s="6" t="s">
        <v>82</v>
      </c>
      <c r="B162" s="7" t="s">
        <v>81</v>
      </c>
      <c r="C162" s="8" t="s">
        <v>9</v>
      </c>
      <c r="D162" s="6">
        <v>60</v>
      </c>
      <c r="E162" s="8">
        <v>7</v>
      </c>
      <c r="F162" s="9">
        <v>0.87</v>
      </c>
      <c r="G162" s="8">
        <v>708</v>
      </c>
      <c r="H162" s="10">
        <f t="shared" si="4"/>
        <v>0.22536985200000001</v>
      </c>
      <c r="I162" s="11" t="s">
        <v>85</v>
      </c>
    </row>
    <row r="163" spans="1:9" x14ac:dyDescent="0.2">
      <c r="A163" s="6" t="s">
        <v>82</v>
      </c>
      <c r="B163" s="7" t="s">
        <v>81</v>
      </c>
      <c r="C163" s="8" t="s">
        <v>9</v>
      </c>
      <c r="D163" s="6">
        <v>60</v>
      </c>
      <c r="E163" s="8">
        <v>10</v>
      </c>
      <c r="F163" s="9">
        <v>0.98</v>
      </c>
      <c r="G163" s="8">
        <v>886</v>
      </c>
      <c r="H163" s="10">
        <f t="shared" si="4"/>
        <v>0.282030634</v>
      </c>
      <c r="I163" s="11" t="s">
        <v>85</v>
      </c>
    </row>
    <row r="164" spans="1:9" x14ac:dyDescent="0.2">
      <c r="A164" s="33" t="s">
        <v>87</v>
      </c>
      <c r="B164" s="32" t="s">
        <v>88</v>
      </c>
      <c r="C164" s="33" t="s">
        <v>9</v>
      </c>
      <c r="D164" s="31">
        <v>60</v>
      </c>
      <c r="E164" s="33">
        <v>0</v>
      </c>
      <c r="F164" s="34">
        <v>0</v>
      </c>
      <c r="G164" s="33">
        <v>-33</v>
      </c>
      <c r="H164" s="35">
        <f t="shared" si="4"/>
        <v>-1.0504527000000001E-2</v>
      </c>
      <c r="I164" s="36" t="s">
        <v>93</v>
      </c>
    </row>
    <row r="165" spans="1:9" x14ac:dyDescent="0.2">
      <c r="A165" s="33" t="s">
        <v>87</v>
      </c>
      <c r="B165" s="32" t="s">
        <v>88</v>
      </c>
      <c r="C165" s="33" t="s">
        <v>9</v>
      </c>
      <c r="D165" s="31">
        <v>60</v>
      </c>
      <c r="E165" s="33">
        <v>1</v>
      </c>
      <c r="F165" s="34">
        <v>0.15</v>
      </c>
      <c r="G165" s="33">
        <v>-2</v>
      </c>
      <c r="H165" s="35">
        <f t="shared" si="4"/>
        <v>-6.3663800000000003E-4</v>
      </c>
      <c r="I165" s="36" t="s">
        <v>93</v>
      </c>
    </row>
    <row r="166" spans="1:9" x14ac:dyDescent="0.2">
      <c r="A166" s="33" t="s">
        <v>87</v>
      </c>
      <c r="B166" s="32" t="s">
        <v>88</v>
      </c>
      <c r="C166" s="33" t="s">
        <v>9</v>
      </c>
      <c r="D166" s="31">
        <v>60</v>
      </c>
      <c r="E166" s="33">
        <v>2</v>
      </c>
      <c r="F166" s="34">
        <v>0.28999999999999998</v>
      </c>
      <c r="G166" s="33">
        <v>26</v>
      </c>
      <c r="H166" s="35">
        <f t="shared" si="4"/>
        <v>8.276294E-3</v>
      </c>
      <c r="I166" s="36" t="s">
        <v>93</v>
      </c>
    </row>
    <row r="167" spans="1:9" x14ac:dyDescent="0.2">
      <c r="A167" s="33" t="s">
        <v>87</v>
      </c>
      <c r="B167" s="32" t="s">
        <v>88</v>
      </c>
      <c r="C167" s="33" t="s">
        <v>9</v>
      </c>
      <c r="D167" s="31">
        <v>60</v>
      </c>
      <c r="E167" s="33">
        <v>3</v>
      </c>
      <c r="F167" s="34">
        <v>0.43</v>
      </c>
      <c r="G167" s="33">
        <v>86</v>
      </c>
      <c r="H167" s="35">
        <f t="shared" si="4"/>
        <v>2.7375434000000001E-2</v>
      </c>
      <c r="I167" s="36" t="s">
        <v>93</v>
      </c>
    </row>
    <row r="168" spans="1:9" x14ac:dyDescent="0.2">
      <c r="A168" s="33" t="s">
        <v>87</v>
      </c>
      <c r="B168" s="32" t="s">
        <v>88</v>
      </c>
      <c r="C168" s="33" t="s">
        <v>9</v>
      </c>
      <c r="D168" s="31">
        <v>60</v>
      </c>
      <c r="E168" s="33">
        <v>4</v>
      </c>
      <c r="F168" s="34">
        <v>0.56000000000000005</v>
      </c>
      <c r="G168" s="33">
        <v>188</v>
      </c>
      <c r="H168" s="35">
        <f t="shared" si="4"/>
        <v>5.9843972000000002E-2</v>
      </c>
      <c r="I168" s="36" t="s">
        <v>93</v>
      </c>
    </row>
    <row r="169" spans="1:9" x14ac:dyDescent="0.2">
      <c r="A169" s="33" t="s">
        <v>87</v>
      </c>
      <c r="B169" s="32" t="s">
        <v>88</v>
      </c>
      <c r="C169" s="33" t="s">
        <v>19</v>
      </c>
      <c r="D169" s="31">
        <v>60</v>
      </c>
      <c r="E169" s="33">
        <v>5</v>
      </c>
      <c r="F169" s="34">
        <v>0.69</v>
      </c>
      <c r="G169" s="33">
        <v>248</v>
      </c>
      <c r="H169" s="35">
        <f t="shared" si="4"/>
        <v>7.894311200000001E-2</v>
      </c>
      <c r="I169" s="36" t="s">
        <v>93</v>
      </c>
    </row>
    <row r="170" spans="1:9" x14ac:dyDescent="0.2">
      <c r="A170" s="33" t="s">
        <v>87</v>
      </c>
      <c r="B170" s="32" t="s">
        <v>88</v>
      </c>
      <c r="C170" s="33" t="s">
        <v>19</v>
      </c>
      <c r="D170" s="31">
        <v>60</v>
      </c>
      <c r="E170" s="33">
        <v>7</v>
      </c>
      <c r="F170" s="34">
        <v>0.85</v>
      </c>
      <c r="G170" s="33">
        <v>378</v>
      </c>
      <c r="H170" s="35">
        <f t="shared" si="4"/>
        <v>0.12032458200000001</v>
      </c>
      <c r="I170" s="36" t="s">
        <v>93</v>
      </c>
    </row>
    <row r="171" spans="1:9" x14ac:dyDescent="0.2">
      <c r="A171" s="33" t="s">
        <v>87</v>
      </c>
      <c r="B171" s="32" t="s">
        <v>88</v>
      </c>
      <c r="C171" s="33" t="s">
        <v>19</v>
      </c>
      <c r="D171" s="31">
        <v>60</v>
      </c>
      <c r="E171" s="33">
        <v>10</v>
      </c>
      <c r="F171" s="34">
        <v>0.96</v>
      </c>
      <c r="G171" s="33">
        <v>458</v>
      </c>
      <c r="H171" s="35">
        <f t="shared" si="4"/>
        <v>0.145790102</v>
      </c>
      <c r="I171" s="36" t="s">
        <v>93</v>
      </c>
    </row>
    <row r="172" spans="1:9" x14ac:dyDescent="0.2">
      <c r="A172" s="20" t="s">
        <v>83</v>
      </c>
      <c r="B172" s="19" t="s">
        <v>89</v>
      </c>
      <c r="C172" s="20" t="s">
        <v>9</v>
      </c>
      <c r="D172" s="18">
        <v>60</v>
      </c>
      <c r="E172" s="20">
        <v>0</v>
      </c>
      <c r="F172" s="21">
        <v>0</v>
      </c>
      <c r="G172" s="20">
        <v>-44</v>
      </c>
      <c r="H172" s="22">
        <f t="shared" si="4"/>
        <v>-1.4006035999999999E-2</v>
      </c>
      <c r="I172" s="23" t="s">
        <v>93</v>
      </c>
    </row>
    <row r="173" spans="1:9" x14ac:dyDescent="0.2">
      <c r="A173" s="20" t="s">
        <v>83</v>
      </c>
      <c r="B173" s="19" t="s">
        <v>89</v>
      </c>
      <c r="C173" s="20" t="s">
        <v>9</v>
      </c>
      <c r="D173" s="18">
        <v>60</v>
      </c>
      <c r="E173" s="20">
        <v>1</v>
      </c>
      <c r="F173" s="21">
        <v>0.15</v>
      </c>
      <c r="G173" s="20">
        <v>-32</v>
      </c>
      <c r="H173" s="22">
        <f t="shared" si="4"/>
        <v>-1.0186208E-2</v>
      </c>
      <c r="I173" s="23" t="s">
        <v>93</v>
      </c>
    </row>
    <row r="174" spans="1:9" x14ac:dyDescent="0.2">
      <c r="A174" s="20" t="s">
        <v>83</v>
      </c>
      <c r="B174" s="19" t="s">
        <v>89</v>
      </c>
      <c r="C174" s="20" t="s">
        <v>9</v>
      </c>
      <c r="D174" s="18">
        <v>60</v>
      </c>
      <c r="E174" s="20">
        <v>2</v>
      </c>
      <c r="F174" s="21">
        <v>0.28999999999999998</v>
      </c>
      <c r="G174" s="20">
        <v>56</v>
      </c>
      <c r="H174" s="22">
        <f t="shared" si="4"/>
        <v>1.7825864E-2</v>
      </c>
      <c r="I174" s="23" t="s">
        <v>93</v>
      </c>
    </row>
    <row r="175" spans="1:9" x14ac:dyDescent="0.2">
      <c r="A175" s="20" t="s">
        <v>83</v>
      </c>
      <c r="B175" s="19" t="s">
        <v>89</v>
      </c>
      <c r="C175" s="20" t="s">
        <v>9</v>
      </c>
      <c r="D175" s="18">
        <v>60</v>
      </c>
      <c r="E175" s="20">
        <v>3</v>
      </c>
      <c r="F175" s="21">
        <v>0.43</v>
      </c>
      <c r="G175" s="20">
        <v>117</v>
      </c>
      <c r="H175" s="22">
        <f t="shared" si="4"/>
        <v>3.7243323000000002E-2</v>
      </c>
      <c r="I175" s="23" t="s">
        <v>93</v>
      </c>
    </row>
    <row r="176" spans="1:9" x14ac:dyDescent="0.2">
      <c r="A176" s="20" t="s">
        <v>83</v>
      </c>
      <c r="B176" s="19" t="s">
        <v>89</v>
      </c>
      <c r="C176" s="20" t="s">
        <v>9</v>
      </c>
      <c r="D176" s="18">
        <v>60</v>
      </c>
      <c r="E176" s="20">
        <v>4</v>
      </c>
      <c r="F176" s="21">
        <v>0.56000000000000005</v>
      </c>
      <c r="G176" s="20">
        <v>216</v>
      </c>
      <c r="H176" s="22">
        <f t="shared" si="4"/>
        <v>6.8756904000000008E-2</v>
      </c>
      <c r="I176" s="23" t="s">
        <v>93</v>
      </c>
    </row>
    <row r="177" spans="1:9" x14ac:dyDescent="0.2">
      <c r="A177" s="20" t="s">
        <v>83</v>
      </c>
      <c r="B177" s="19" t="s">
        <v>89</v>
      </c>
      <c r="C177" s="20" t="s">
        <v>19</v>
      </c>
      <c r="D177" s="18">
        <v>60</v>
      </c>
      <c r="E177" s="20">
        <v>5</v>
      </c>
      <c r="F177" s="21">
        <v>0.69</v>
      </c>
      <c r="G177" s="20">
        <v>327</v>
      </c>
      <c r="H177" s="22">
        <f t="shared" si="4"/>
        <v>0.104090313</v>
      </c>
      <c r="I177" s="23" t="s">
        <v>93</v>
      </c>
    </row>
    <row r="178" spans="1:9" x14ac:dyDescent="0.2">
      <c r="A178" s="20" t="s">
        <v>83</v>
      </c>
      <c r="B178" s="19" t="s">
        <v>89</v>
      </c>
      <c r="C178" s="20" t="s">
        <v>19</v>
      </c>
      <c r="D178" s="18">
        <v>60</v>
      </c>
      <c r="E178" s="20">
        <v>7</v>
      </c>
      <c r="F178" s="21">
        <v>0.85</v>
      </c>
      <c r="G178" s="20">
        <v>447</v>
      </c>
      <c r="H178" s="22">
        <f t="shared" si="4"/>
        <v>0.14228859300000002</v>
      </c>
      <c r="I178" s="23" t="s">
        <v>93</v>
      </c>
    </row>
    <row r="179" spans="1:9" x14ac:dyDescent="0.2">
      <c r="A179" s="20" t="s">
        <v>83</v>
      </c>
      <c r="B179" s="19" t="s">
        <v>89</v>
      </c>
      <c r="C179" s="20" t="s">
        <v>19</v>
      </c>
      <c r="D179" s="18">
        <v>60</v>
      </c>
      <c r="E179" s="20">
        <v>10</v>
      </c>
      <c r="F179" s="21">
        <v>0.96</v>
      </c>
      <c r="G179" s="20">
        <v>609</v>
      </c>
      <c r="H179" s="22">
        <f t="shared" si="4"/>
        <v>0.193856271</v>
      </c>
      <c r="I179" s="23" t="s">
        <v>93</v>
      </c>
    </row>
    <row r="180" spans="1:9" x14ac:dyDescent="0.2">
      <c r="A180" s="12" t="s">
        <v>84</v>
      </c>
      <c r="B180" s="13" t="s">
        <v>91</v>
      </c>
      <c r="C180" s="14" t="s">
        <v>9</v>
      </c>
      <c r="D180" s="12">
        <v>60</v>
      </c>
      <c r="E180" s="14">
        <v>0</v>
      </c>
      <c r="F180" s="15">
        <v>0</v>
      </c>
      <c r="G180" s="14">
        <v>-2</v>
      </c>
      <c r="H180" s="16">
        <f t="shared" si="4"/>
        <v>-6.3663800000000003E-4</v>
      </c>
      <c r="I180" s="17" t="s">
        <v>70</v>
      </c>
    </row>
    <row r="181" spans="1:9" x14ac:dyDescent="0.2">
      <c r="A181" s="12" t="s">
        <v>84</v>
      </c>
      <c r="B181" s="13" t="s">
        <v>91</v>
      </c>
      <c r="C181" s="14" t="s">
        <v>9</v>
      </c>
      <c r="D181" s="12">
        <v>60</v>
      </c>
      <c r="E181" s="14">
        <v>1</v>
      </c>
      <c r="F181" s="15">
        <v>0.15</v>
      </c>
      <c r="G181" s="14">
        <v>17</v>
      </c>
      <c r="H181" s="16">
        <f t="shared" si="4"/>
        <v>5.4114230000000003E-3</v>
      </c>
      <c r="I181" s="17" t="s">
        <v>70</v>
      </c>
    </row>
    <row r="182" spans="1:9" x14ac:dyDescent="0.2">
      <c r="A182" s="12" t="s">
        <v>84</v>
      </c>
      <c r="B182" s="13" t="s">
        <v>91</v>
      </c>
      <c r="C182" s="14" t="s">
        <v>9</v>
      </c>
      <c r="D182" s="12">
        <v>60</v>
      </c>
      <c r="E182" s="14">
        <v>2</v>
      </c>
      <c r="F182" s="15">
        <v>0.28999999999999998</v>
      </c>
      <c r="G182" s="14">
        <v>86</v>
      </c>
      <c r="H182" s="16">
        <f t="shared" si="4"/>
        <v>2.7375434000000001E-2</v>
      </c>
      <c r="I182" s="17" t="s">
        <v>70</v>
      </c>
    </row>
    <row r="183" spans="1:9" x14ac:dyDescent="0.2">
      <c r="A183" s="12" t="s">
        <v>84</v>
      </c>
      <c r="B183" s="13" t="s">
        <v>91</v>
      </c>
      <c r="C183" s="14" t="s">
        <v>9</v>
      </c>
      <c r="D183" s="12">
        <v>60</v>
      </c>
      <c r="E183" s="14">
        <v>3</v>
      </c>
      <c r="F183" s="15">
        <v>0.43</v>
      </c>
      <c r="G183" s="14">
        <v>216</v>
      </c>
      <c r="H183" s="16">
        <f t="shared" si="4"/>
        <v>6.8756904000000008E-2</v>
      </c>
      <c r="I183" s="17" t="s">
        <v>70</v>
      </c>
    </row>
    <row r="184" spans="1:9" x14ac:dyDescent="0.2">
      <c r="A184" s="12" t="s">
        <v>84</v>
      </c>
      <c r="B184" s="13" t="s">
        <v>91</v>
      </c>
      <c r="C184" s="14" t="s">
        <v>9</v>
      </c>
      <c r="D184" s="12">
        <v>60</v>
      </c>
      <c r="E184" s="14">
        <v>4</v>
      </c>
      <c r="F184" s="15">
        <v>0.56999999999999995</v>
      </c>
      <c r="G184" s="14">
        <v>337</v>
      </c>
      <c r="H184" s="16">
        <f t="shared" si="4"/>
        <v>0.10727350300000002</v>
      </c>
      <c r="I184" s="17" t="s">
        <v>70</v>
      </c>
    </row>
    <row r="185" spans="1:9" x14ac:dyDescent="0.2">
      <c r="A185" s="12" t="s">
        <v>84</v>
      </c>
      <c r="B185" s="13" t="s">
        <v>91</v>
      </c>
      <c r="C185" s="14" t="s">
        <v>9</v>
      </c>
      <c r="D185" s="12">
        <v>60</v>
      </c>
      <c r="E185" s="14">
        <v>5</v>
      </c>
      <c r="F185" s="15">
        <v>0.7</v>
      </c>
      <c r="G185" s="14">
        <v>488</v>
      </c>
      <c r="H185" s="16">
        <f t="shared" si="4"/>
        <v>0.15533967200000001</v>
      </c>
      <c r="I185" s="17" t="s">
        <v>70</v>
      </c>
    </row>
    <row r="186" spans="1:9" x14ac:dyDescent="0.2">
      <c r="A186" s="12" t="s">
        <v>84</v>
      </c>
      <c r="B186" s="13" t="s">
        <v>91</v>
      </c>
      <c r="C186" s="14" t="s">
        <v>9</v>
      </c>
      <c r="D186" s="12">
        <v>60</v>
      </c>
      <c r="E186" s="14">
        <v>7</v>
      </c>
      <c r="F186" s="15">
        <v>0.86</v>
      </c>
      <c r="G186" s="14">
        <v>667</v>
      </c>
      <c r="H186" s="16">
        <f t="shared" si="4"/>
        <v>0.21231877300000002</v>
      </c>
      <c r="I186" s="17" t="s">
        <v>70</v>
      </c>
    </row>
    <row r="187" spans="1:9" x14ac:dyDescent="0.2">
      <c r="A187" s="12" t="s">
        <v>84</v>
      </c>
      <c r="B187" s="13" t="s">
        <v>91</v>
      </c>
      <c r="C187" s="14" t="s">
        <v>9</v>
      </c>
      <c r="D187" s="12">
        <v>60</v>
      </c>
      <c r="E187" s="14">
        <v>10</v>
      </c>
      <c r="F187" s="15">
        <v>0.97</v>
      </c>
      <c r="G187" s="14">
        <v>829</v>
      </c>
      <c r="H187" s="16">
        <f t="shared" si="4"/>
        <v>0.26388645100000002</v>
      </c>
      <c r="I187" s="17" t="s">
        <v>70</v>
      </c>
    </row>
  </sheetData>
  <autoFilter ref="A1:I107" xr:uid="{00000000-0001-0000-0000-000000000000}"/>
  <sortState xmlns:xlrd2="http://schemas.microsoft.com/office/spreadsheetml/2017/richdata2" ref="A2:I155">
    <sortCondition ref="I1:I155"/>
  </sortState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7E7FB-486F-48B6-8752-BC50C1B73335}">
  <dimension ref="A1"/>
  <sheetViews>
    <sheetView topLeftCell="A19" workbookViewId="0">
      <selection activeCell="R32" sqref="R32"/>
    </sheetView>
  </sheetViews>
  <sheetFormatPr defaultRowHeight="14.25" x14ac:dyDescent="0.2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2649E-4352-49A5-A081-F3BFF4884345}">
  <dimension ref="A1:C145"/>
  <sheetViews>
    <sheetView zoomScale="130" zoomScaleNormal="130" workbookViewId="0">
      <selection activeCell="A18" sqref="A18:B18"/>
    </sheetView>
  </sheetViews>
  <sheetFormatPr defaultRowHeight="14.25" x14ac:dyDescent="0.2"/>
  <cols>
    <col min="1" max="1" width="29.625" customWidth="1"/>
    <col min="2" max="2" width="48.375" customWidth="1"/>
  </cols>
  <sheetData>
    <row r="1" spans="1:3" x14ac:dyDescent="0.2">
      <c r="A1" s="38" t="s">
        <v>12</v>
      </c>
    </row>
    <row r="2" spans="1:3" x14ac:dyDescent="0.2">
      <c r="A2" s="37" t="s">
        <v>60</v>
      </c>
      <c r="B2" s="37" t="s">
        <v>41</v>
      </c>
      <c r="C2" s="37"/>
    </row>
    <row r="3" spans="1:3" x14ac:dyDescent="0.2">
      <c r="A3" s="37" t="s">
        <v>15</v>
      </c>
      <c r="B3" s="37" t="s">
        <v>17</v>
      </c>
      <c r="C3" s="37"/>
    </row>
    <row r="4" spans="1:3" x14ac:dyDescent="0.2">
      <c r="A4" s="37" t="s">
        <v>56</v>
      </c>
      <c r="B4" s="37" t="s">
        <v>21</v>
      </c>
    </row>
    <row r="5" spans="1:3" x14ac:dyDescent="0.2">
      <c r="A5" s="37" t="s">
        <v>57</v>
      </c>
      <c r="B5" s="37" t="s">
        <v>29</v>
      </c>
    </row>
    <row r="6" spans="1:3" x14ac:dyDescent="0.2">
      <c r="A6" s="37" t="s">
        <v>58</v>
      </c>
      <c r="B6" s="37" t="s">
        <v>37</v>
      </c>
    </row>
    <row r="7" spans="1:3" x14ac:dyDescent="0.2">
      <c r="A7" s="37" t="s">
        <v>59</v>
      </c>
      <c r="B7" s="37" t="s">
        <v>39</v>
      </c>
    </row>
    <row r="8" spans="1:3" x14ac:dyDescent="0.2">
      <c r="A8" s="37" t="s">
        <v>61</v>
      </c>
      <c r="B8" s="37" t="s">
        <v>47</v>
      </c>
    </row>
    <row r="9" spans="1:3" x14ac:dyDescent="0.2">
      <c r="A9" s="37" t="s">
        <v>62</v>
      </c>
      <c r="B9" s="37" t="s">
        <v>50</v>
      </c>
    </row>
    <row r="10" spans="1:3" x14ac:dyDescent="0.2">
      <c r="A10" s="37" t="s">
        <v>63</v>
      </c>
      <c r="B10" s="37" t="s">
        <v>52</v>
      </c>
    </row>
    <row r="11" spans="1:3" x14ac:dyDescent="0.2">
      <c r="A11" s="37" t="s">
        <v>64</v>
      </c>
      <c r="B11" s="37" t="s">
        <v>65</v>
      </c>
    </row>
    <row r="12" spans="1:3" x14ac:dyDescent="0.2">
      <c r="A12" s="37" t="s">
        <v>73</v>
      </c>
      <c r="B12" s="37" t="s">
        <v>72</v>
      </c>
    </row>
    <row r="13" spans="1:3" x14ac:dyDescent="0.2">
      <c r="A13" s="37" t="s">
        <v>76</v>
      </c>
      <c r="B13" s="37" t="s">
        <v>75</v>
      </c>
    </row>
    <row r="14" spans="1:3" x14ac:dyDescent="0.2">
      <c r="A14" s="37" t="s">
        <v>79</v>
      </c>
      <c r="B14" s="37" t="s">
        <v>78</v>
      </c>
    </row>
    <row r="15" spans="1:3" x14ac:dyDescent="0.2">
      <c r="A15" s="37" t="s">
        <v>82</v>
      </c>
      <c r="B15" s="37" t="s">
        <v>81</v>
      </c>
    </row>
    <row r="16" spans="1:3" x14ac:dyDescent="0.2">
      <c r="A16" s="37" t="s">
        <v>87</v>
      </c>
      <c r="B16" s="37" t="s">
        <v>86</v>
      </c>
    </row>
    <row r="17" spans="1:2" x14ac:dyDescent="0.2">
      <c r="A17" s="37" t="s">
        <v>83</v>
      </c>
      <c r="B17" s="37" t="s">
        <v>90</v>
      </c>
    </row>
    <row r="18" spans="1:2" x14ac:dyDescent="0.2">
      <c r="A18" s="37" t="s">
        <v>84</v>
      </c>
      <c r="B18" s="37" t="s">
        <v>92</v>
      </c>
    </row>
    <row r="19" spans="1:2" x14ac:dyDescent="0.2">
      <c r="A19" s="37"/>
      <c r="B19" s="37"/>
    </row>
    <row r="20" spans="1:2" x14ac:dyDescent="0.2">
      <c r="A20" s="37"/>
      <c r="B20" s="37"/>
    </row>
    <row r="21" spans="1:2" x14ac:dyDescent="0.2">
      <c r="A21" s="37"/>
      <c r="B21" s="37"/>
    </row>
    <row r="22" spans="1:2" x14ac:dyDescent="0.2">
      <c r="A22" s="37"/>
      <c r="B22" s="37"/>
    </row>
    <row r="23" spans="1:2" x14ac:dyDescent="0.2">
      <c r="A23" s="37"/>
      <c r="B23" s="37"/>
    </row>
    <row r="24" spans="1:2" x14ac:dyDescent="0.2">
      <c r="A24" s="37"/>
      <c r="B24" s="37"/>
    </row>
    <row r="25" spans="1:2" x14ac:dyDescent="0.2">
      <c r="A25" s="37"/>
      <c r="B25" s="37"/>
    </row>
    <row r="26" spans="1:2" x14ac:dyDescent="0.2">
      <c r="A26" s="37"/>
      <c r="B26" s="37"/>
    </row>
    <row r="27" spans="1:2" x14ac:dyDescent="0.2">
      <c r="A27" s="37"/>
      <c r="B27" s="37"/>
    </row>
    <row r="28" spans="1:2" x14ac:dyDescent="0.2">
      <c r="A28" s="37"/>
      <c r="B28" s="37"/>
    </row>
    <row r="29" spans="1:2" x14ac:dyDescent="0.2">
      <c r="A29" s="37"/>
      <c r="B29" s="37"/>
    </row>
    <row r="30" spans="1:2" x14ac:dyDescent="0.2">
      <c r="A30" s="37"/>
      <c r="B30" s="37"/>
    </row>
    <row r="31" spans="1:2" x14ac:dyDescent="0.2">
      <c r="A31" s="37"/>
      <c r="B31" s="37"/>
    </row>
    <row r="32" spans="1:2" x14ac:dyDescent="0.2">
      <c r="A32" s="37"/>
      <c r="B32" s="37"/>
    </row>
    <row r="33" spans="1:2" x14ac:dyDescent="0.2">
      <c r="A33" s="37"/>
      <c r="B33" s="37"/>
    </row>
    <row r="34" spans="1:2" x14ac:dyDescent="0.2">
      <c r="A34" s="37"/>
      <c r="B34" s="37"/>
    </row>
    <row r="35" spans="1:2" x14ac:dyDescent="0.2">
      <c r="A35" s="37"/>
      <c r="B35" s="37"/>
    </row>
    <row r="36" spans="1:2" x14ac:dyDescent="0.2">
      <c r="A36" s="37"/>
      <c r="B36" s="37"/>
    </row>
    <row r="37" spans="1:2" x14ac:dyDescent="0.2">
      <c r="A37" s="37"/>
      <c r="B37" s="37"/>
    </row>
    <row r="38" spans="1:2" x14ac:dyDescent="0.2">
      <c r="A38" s="37"/>
      <c r="B38" s="37"/>
    </row>
    <row r="39" spans="1:2" x14ac:dyDescent="0.2">
      <c r="A39" s="37"/>
      <c r="B39" s="37"/>
    </row>
    <row r="40" spans="1:2" x14ac:dyDescent="0.2">
      <c r="A40" s="37"/>
      <c r="B40" s="37"/>
    </row>
    <row r="41" spans="1:2" x14ac:dyDescent="0.2">
      <c r="A41" s="37"/>
      <c r="B41" s="37"/>
    </row>
    <row r="42" spans="1:2" x14ac:dyDescent="0.2">
      <c r="A42" s="37"/>
      <c r="B42" s="37"/>
    </row>
    <row r="43" spans="1:2" x14ac:dyDescent="0.2">
      <c r="A43" s="37"/>
      <c r="B43" s="37"/>
    </row>
    <row r="44" spans="1:2" x14ac:dyDescent="0.2">
      <c r="A44" s="37"/>
      <c r="B44" s="37"/>
    </row>
    <row r="45" spans="1:2" x14ac:dyDescent="0.2">
      <c r="A45" s="37"/>
      <c r="B45" s="37"/>
    </row>
    <row r="46" spans="1:2" x14ac:dyDescent="0.2">
      <c r="A46" s="37"/>
      <c r="B46" s="37"/>
    </row>
    <row r="47" spans="1:2" x14ac:dyDescent="0.2">
      <c r="A47" s="37"/>
      <c r="B47" s="37"/>
    </row>
    <row r="48" spans="1:2" x14ac:dyDescent="0.2">
      <c r="A48" s="37"/>
      <c r="B48" s="37"/>
    </row>
    <row r="49" spans="1:2" x14ac:dyDescent="0.2">
      <c r="A49" s="37"/>
      <c r="B49" s="37"/>
    </row>
    <row r="50" spans="1:2" x14ac:dyDescent="0.2">
      <c r="A50" s="37"/>
      <c r="B50" s="37"/>
    </row>
    <row r="51" spans="1:2" x14ac:dyDescent="0.2">
      <c r="A51" s="37"/>
      <c r="B51" s="37"/>
    </row>
    <row r="52" spans="1:2" x14ac:dyDescent="0.2">
      <c r="A52" s="37"/>
      <c r="B52" s="37"/>
    </row>
    <row r="53" spans="1:2" x14ac:dyDescent="0.2">
      <c r="A53" s="37"/>
      <c r="B53" s="37"/>
    </row>
    <row r="54" spans="1:2" x14ac:dyDescent="0.2">
      <c r="A54" s="37"/>
      <c r="B54" s="37"/>
    </row>
    <row r="55" spans="1:2" x14ac:dyDescent="0.2">
      <c r="A55" s="37"/>
      <c r="B55" s="37"/>
    </row>
    <row r="56" spans="1:2" x14ac:dyDescent="0.2">
      <c r="A56" s="37"/>
      <c r="B56" s="37"/>
    </row>
    <row r="57" spans="1:2" x14ac:dyDescent="0.2">
      <c r="A57" s="37"/>
      <c r="B57" s="37"/>
    </row>
    <row r="58" spans="1:2" x14ac:dyDescent="0.2">
      <c r="A58" s="37"/>
      <c r="B58" s="37"/>
    </row>
    <row r="59" spans="1:2" x14ac:dyDescent="0.2">
      <c r="A59" s="37"/>
      <c r="B59" s="37"/>
    </row>
    <row r="60" spans="1:2" x14ac:dyDescent="0.2">
      <c r="A60" s="37"/>
      <c r="B60" s="37"/>
    </row>
    <row r="61" spans="1:2" x14ac:dyDescent="0.2">
      <c r="A61" s="37"/>
      <c r="B61" s="37"/>
    </row>
    <row r="62" spans="1:2" x14ac:dyDescent="0.2">
      <c r="A62" s="37"/>
      <c r="B62" s="37"/>
    </row>
    <row r="63" spans="1:2" x14ac:dyDescent="0.2">
      <c r="A63" s="37"/>
      <c r="B63" s="37"/>
    </row>
    <row r="64" spans="1:2" x14ac:dyDescent="0.2">
      <c r="A64" s="37"/>
      <c r="B64" s="37"/>
    </row>
    <row r="65" spans="1:2" x14ac:dyDescent="0.2">
      <c r="A65" s="37"/>
      <c r="B65" s="37"/>
    </row>
    <row r="66" spans="1:2" x14ac:dyDescent="0.2">
      <c r="A66" s="37"/>
      <c r="B66" s="37"/>
    </row>
    <row r="67" spans="1:2" x14ac:dyDescent="0.2">
      <c r="A67" s="37"/>
      <c r="B67" s="37"/>
    </row>
    <row r="68" spans="1:2" x14ac:dyDescent="0.2">
      <c r="A68" s="37"/>
      <c r="B68" s="37"/>
    </row>
    <row r="69" spans="1:2" x14ac:dyDescent="0.2">
      <c r="A69" s="37"/>
      <c r="B69" s="37"/>
    </row>
    <row r="70" spans="1:2" x14ac:dyDescent="0.2">
      <c r="A70" s="37"/>
      <c r="B70" s="37"/>
    </row>
    <row r="71" spans="1:2" x14ac:dyDescent="0.2">
      <c r="A71" s="37"/>
      <c r="B71" s="37"/>
    </row>
    <row r="72" spans="1:2" x14ac:dyDescent="0.2">
      <c r="A72" s="37"/>
      <c r="B72" s="37"/>
    </row>
    <row r="73" spans="1:2" x14ac:dyDescent="0.2">
      <c r="A73" s="37"/>
      <c r="B73" s="37"/>
    </row>
    <row r="74" spans="1:2" x14ac:dyDescent="0.2">
      <c r="A74" s="37"/>
      <c r="B74" s="37"/>
    </row>
    <row r="75" spans="1:2" x14ac:dyDescent="0.2">
      <c r="A75" s="37"/>
      <c r="B75" s="37"/>
    </row>
    <row r="76" spans="1:2" x14ac:dyDescent="0.2">
      <c r="A76" s="37"/>
      <c r="B76" s="37"/>
    </row>
    <row r="77" spans="1:2" x14ac:dyDescent="0.2">
      <c r="A77" s="37"/>
      <c r="B77" s="37"/>
    </row>
    <row r="78" spans="1:2" x14ac:dyDescent="0.2">
      <c r="A78" s="37"/>
      <c r="B78" s="37"/>
    </row>
    <row r="79" spans="1:2" x14ac:dyDescent="0.2">
      <c r="A79" s="37"/>
      <c r="B79" s="37"/>
    </row>
    <row r="80" spans="1:2" x14ac:dyDescent="0.2">
      <c r="A80" s="37"/>
      <c r="B80" s="37"/>
    </row>
    <row r="81" spans="1:2" x14ac:dyDescent="0.2">
      <c r="A81" s="37"/>
      <c r="B81" s="37"/>
    </row>
    <row r="82" spans="1:2" x14ac:dyDescent="0.2">
      <c r="A82" s="37"/>
      <c r="B82" s="37"/>
    </row>
    <row r="83" spans="1:2" x14ac:dyDescent="0.2">
      <c r="A83" s="37"/>
      <c r="B83" s="37"/>
    </row>
    <row r="84" spans="1:2" x14ac:dyDescent="0.2">
      <c r="A84" s="37"/>
      <c r="B84" s="37"/>
    </row>
    <row r="85" spans="1:2" x14ac:dyDescent="0.2">
      <c r="A85" s="37"/>
      <c r="B85" s="37"/>
    </row>
    <row r="86" spans="1:2" x14ac:dyDescent="0.2">
      <c r="A86" s="37"/>
      <c r="B86" s="37"/>
    </row>
    <row r="87" spans="1:2" x14ac:dyDescent="0.2">
      <c r="A87" s="37"/>
      <c r="B87" s="37"/>
    </row>
    <row r="88" spans="1:2" x14ac:dyDescent="0.2">
      <c r="A88" s="37"/>
      <c r="B88" s="37"/>
    </row>
    <row r="89" spans="1:2" x14ac:dyDescent="0.2">
      <c r="A89" s="37"/>
      <c r="B89" s="37"/>
    </row>
    <row r="90" spans="1:2" x14ac:dyDescent="0.2">
      <c r="A90" s="37"/>
      <c r="B90" s="37"/>
    </row>
    <row r="91" spans="1:2" x14ac:dyDescent="0.2">
      <c r="A91" s="37"/>
      <c r="B91" s="37"/>
    </row>
    <row r="92" spans="1:2" x14ac:dyDescent="0.2">
      <c r="A92" s="37"/>
      <c r="B92" s="37"/>
    </row>
    <row r="93" spans="1:2" x14ac:dyDescent="0.2">
      <c r="A93" s="37"/>
      <c r="B93" s="37"/>
    </row>
    <row r="94" spans="1:2" x14ac:dyDescent="0.2">
      <c r="A94" s="37"/>
      <c r="B94" s="37"/>
    </row>
    <row r="95" spans="1:2" x14ac:dyDescent="0.2">
      <c r="A95" s="37"/>
      <c r="B95" s="37"/>
    </row>
    <row r="96" spans="1:2" x14ac:dyDescent="0.2">
      <c r="A96" s="37"/>
      <c r="B96" s="37"/>
    </row>
    <row r="97" spans="1:2" x14ac:dyDescent="0.2">
      <c r="A97" s="37"/>
      <c r="B97" s="37"/>
    </row>
    <row r="98" spans="1:2" x14ac:dyDescent="0.2">
      <c r="A98" s="37"/>
      <c r="B98" s="37"/>
    </row>
    <row r="99" spans="1:2" x14ac:dyDescent="0.2">
      <c r="A99" s="37"/>
      <c r="B99" s="37"/>
    </row>
    <row r="100" spans="1:2" x14ac:dyDescent="0.2">
      <c r="A100" s="37"/>
      <c r="B100" s="37"/>
    </row>
    <row r="101" spans="1:2" x14ac:dyDescent="0.2">
      <c r="A101" s="37"/>
      <c r="B101" s="37"/>
    </row>
    <row r="102" spans="1:2" x14ac:dyDescent="0.2">
      <c r="A102" s="37"/>
      <c r="B102" s="37"/>
    </row>
    <row r="103" spans="1:2" x14ac:dyDescent="0.2">
      <c r="A103" s="37"/>
      <c r="B103" s="37"/>
    </row>
    <row r="104" spans="1:2" x14ac:dyDescent="0.2">
      <c r="A104" s="37"/>
      <c r="B104" s="37"/>
    </row>
    <row r="105" spans="1:2" x14ac:dyDescent="0.2">
      <c r="A105" s="37"/>
      <c r="B105" s="37"/>
    </row>
    <row r="106" spans="1:2" x14ac:dyDescent="0.2">
      <c r="A106" s="37"/>
      <c r="B106" s="37"/>
    </row>
    <row r="107" spans="1:2" x14ac:dyDescent="0.2">
      <c r="A107" s="37"/>
      <c r="B107" s="37"/>
    </row>
    <row r="108" spans="1:2" x14ac:dyDescent="0.2">
      <c r="A108" s="37"/>
      <c r="B108" s="37"/>
    </row>
    <row r="109" spans="1:2" x14ac:dyDescent="0.2">
      <c r="A109" s="37"/>
      <c r="B109" s="37"/>
    </row>
    <row r="110" spans="1:2" x14ac:dyDescent="0.2">
      <c r="A110" s="37"/>
      <c r="B110" s="37"/>
    </row>
    <row r="111" spans="1:2" x14ac:dyDescent="0.2">
      <c r="A111" s="37"/>
      <c r="B111" s="37"/>
    </row>
    <row r="112" spans="1:2" x14ac:dyDescent="0.2">
      <c r="A112" s="37"/>
      <c r="B112" s="37"/>
    </row>
    <row r="113" spans="1:2" x14ac:dyDescent="0.2">
      <c r="A113" s="37"/>
      <c r="B113" s="37"/>
    </row>
    <row r="114" spans="1:2" x14ac:dyDescent="0.2">
      <c r="A114" s="37"/>
      <c r="B114" s="37"/>
    </row>
    <row r="115" spans="1:2" x14ac:dyDescent="0.2">
      <c r="A115" s="37"/>
      <c r="B115" s="37"/>
    </row>
    <row r="116" spans="1:2" x14ac:dyDescent="0.2">
      <c r="A116" s="37"/>
      <c r="B116" s="37"/>
    </row>
    <row r="117" spans="1:2" x14ac:dyDescent="0.2">
      <c r="A117" s="37"/>
      <c r="B117" s="37"/>
    </row>
    <row r="118" spans="1:2" x14ac:dyDescent="0.2">
      <c r="A118" s="37"/>
      <c r="B118" s="37"/>
    </row>
    <row r="119" spans="1:2" x14ac:dyDescent="0.2">
      <c r="A119" s="37"/>
      <c r="B119" s="37"/>
    </row>
    <row r="120" spans="1:2" x14ac:dyDescent="0.2">
      <c r="A120" s="37"/>
      <c r="B120" s="37"/>
    </row>
    <row r="121" spans="1:2" x14ac:dyDescent="0.2">
      <c r="A121" s="37"/>
      <c r="B121" s="37"/>
    </row>
    <row r="122" spans="1:2" x14ac:dyDescent="0.2">
      <c r="A122" s="37"/>
      <c r="B122" s="37"/>
    </row>
    <row r="123" spans="1:2" x14ac:dyDescent="0.2">
      <c r="A123" s="37"/>
      <c r="B123" s="37"/>
    </row>
    <row r="124" spans="1:2" x14ac:dyDescent="0.2">
      <c r="A124" s="37"/>
      <c r="B124" s="37"/>
    </row>
    <row r="125" spans="1:2" x14ac:dyDescent="0.2">
      <c r="A125" s="37"/>
      <c r="B125" s="37"/>
    </row>
    <row r="126" spans="1:2" x14ac:dyDescent="0.2">
      <c r="A126" s="37"/>
      <c r="B126" s="37"/>
    </row>
    <row r="127" spans="1:2" x14ac:dyDescent="0.2">
      <c r="A127" s="37"/>
      <c r="B127" s="37"/>
    </row>
    <row r="128" spans="1:2" x14ac:dyDescent="0.2">
      <c r="A128" s="37"/>
      <c r="B128" s="37"/>
    </row>
    <row r="129" spans="1:2" x14ac:dyDescent="0.2">
      <c r="A129" s="37"/>
      <c r="B129" s="37"/>
    </row>
    <row r="130" spans="1:2" x14ac:dyDescent="0.2">
      <c r="A130" s="37"/>
      <c r="B130" s="37"/>
    </row>
    <row r="131" spans="1:2" x14ac:dyDescent="0.2">
      <c r="A131" s="37"/>
      <c r="B131" s="37"/>
    </row>
    <row r="132" spans="1:2" x14ac:dyDescent="0.2">
      <c r="A132" s="37"/>
      <c r="B132" s="37"/>
    </row>
    <row r="133" spans="1:2" x14ac:dyDescent="0.2">
      <c r="A133" s="37"/>
      <c r="B133" s="37"/>
    </row>
    <row r="134" spans="1:2" x14ac:dyDescent="0.2">
      <c r="A134" s="37"/>
      <c r="B134" s="37"/>
    </row>
    <row r="135" spans="1:2" x14ac:dyDescent="0.2">
      <c r="A135" s="37"/>
      <c r="B135" s="37"/>
    </row>
    <row r="136" spans="1:2" x14ac:dyDescent="0.2">
      <c r="A136" s="37"/>
      <c r="B136" s="37"/>
    </row>
    <row r="137" spans="1:2" x14ac:dyDescent="0.2">
      <c r="A137" s="37"/>
      <c r="B137" s="37"/>
    </row>
    <row r="138" spans="1:2" x14ac:dyDescent="0.2">
      <c r="A138" s="37"/>
      <c r="B138" s="37"/>
    </row>
    <row r="139" spans="1:2" x14ac:dyDescent="0.2">
      <c r="A139" s="37"/>
      <c r="B139" s="37"/>
    </row>
    <row r="140" spans="1:2" x14ac:dyDescent="0.2">
      <c r="A140" s="37"/>
      <c r="B140" s="37"/>
    </row>
    <row r="141" spans="1:2" x14ac:dyDescent="0.2">
      <c r="A141" s="37"/>
      <c r="B141" s="37"/>
    </row>
    <row r="142" spans="1:2" x14ac:dyDescent="0.2">
      <c r="A142" s="37"/>
      <c r="B142" s="37"/>
    </row>
    <row r="143" spans="1:2" x14ac:dyDescent="0.2">
      <c r="A143" s="37"/>
      <c r="B143" s="37"/>
    </row>
    <row r="144" spans="1:2" x14ac:dyDescent="0.2">
      <c r="A144" s="37"/>
      <c r="B144" s="37"/>
    </row>
    <row r="145" spans="1:2" x14ac:dyDescent="0.2">
      <c r="A145" s="37"/>
      <c r="B145" s="37"/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 y</dc:creator>
  <cp:lastModifiedBy>x y</cp:lastModifiedBy>
  <dcterms:created xsi:type="dcterms:W3CDTF">2015-06-05T18:19:34Z</dcterms:created>
  <dcterms:modified xsi:type="dcterms:W3CDTF">2026-05-20T10:40:21Z</dcterms:modified>
</cp:coreProperties>
</file>