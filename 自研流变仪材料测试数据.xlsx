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Desktop\博士\huawei\交付流变仪\自研流变仪测试数据\"/>
    </mc:Choice>
  </mc:AlternateContent>
  <xr:revisionPtr revIDLastSave="0" documentId="13_ncr:1_{7A98AB70-7B9E-4D8F-BB85-E4C7F69F648C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FilterDatabase" localSheetId="0" hidden="1">Sheet1!$A$1:$I$953</definedName>
    <definedName name="_xlnm.Criteria" localSheetId="0" hidden="1">Sheet1!$A$1:$I$49</definedName>
    <definedName name="_xlnm.Data_Form" localSheetId="0" hidden="1">Sheet1!$A$1:$I$67</definedName>
    <definedName name="_xlnm._FilterDatabase" localSheetId="0" hidden="1">Sheet1!$A$1:$I$817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3" i="1" l="1"/>
  <c r="H952" i="1"/>
  <c r="H951" i="1"/>
  <c r="H950" i="1"/>
  <c r="H949" i="1"/>
  <c r="H948" i="1"/>
  <c r="H947" i="1"/>
  <c r="H946" i="1"/>
  <c r="H945" i="1" l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 l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 l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 l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 l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33" i="1"/>
  <c r="H632" i="1"/>
  <c r="H631" i="1"/>
  <c r="H630" i="1"/>
  <c r="H629" i="1"/>
  <c r="H628" i="1"/>
  <c r="H627" i="1"/>
  <c r="H626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 l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45" i="1"/>
  <c r="H544" i="1"/>
  <c r="H543" i="1"/>
  <c r="H542" i="1"/>
  <c r="H541" i="1"/>
  <c r="H540" i="1"/>
  <c r="H539" i="1"/>
  <c r="H538" i="1"/>
  <c r="H521" i="1" l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 l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 l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63" i="1"/>
  <c r="H364" i="1"/>
  <c r="H365" i="1"/>
  <c r="H366" i="1"/>
  <c r="H367" i="1"/>
  <c r="H368" i="1"/>
  <c r="H369" i="1"/>
  <c r="H362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1" i="1" l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37" i="1"/>
  <c r="H336" i="1"/>
  <c r="H335" i="1"/>
  <c r="H334" i="1"/>
  <c r="H333" i="1"/>
  <c r="H332" i="1"/>
  <c r="H331" i="1"/>
  <c r="H330" i="1"/>
  <c r="H76" i="1"/>
  <c r="H73" i="1"/>
  <c r="H74" i="1"/>
  <c r="H72" i="1"/>
  <c r="H71" i="1"/>
  <c r="H70" i="1"/>
  <c r="H69" i="1"/>
  <c r="H68" i="1"/>
  <c r="H345" i="1"/>
  <c r="H344" i="1"/>
  <c r="H343" i="1"/>
  <c r="H342" i="1"/>
  <c r="H341" i="1"/>
  <c r="H340" i="1"/>
  <c r="H339" i="1"/>
  <c r="H338" i="1"/>
  <c r="H329" i="1"/>
  <c r="H328" i="1"/>
  <c r="H327" i="1"/>
  <c r="H326" i="1"/>
  <c r="H325" i="1"/>
  <c r="H324" i="1"/>
  <c r="H323" i="1"/>
  <c r="H322" i="1"/>
  <c r="H321" i="1" l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299" i="1"/>
  <c r="H304" i="1"/>
  <c r="H305" i="1"/>
  <c r="H303" i="1"/>
  <c r="H302" i="1"/>
  <c r="H301" i="1"/>
  <c r="H300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1" i="1"/>
  <c r="H242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23" i="1"/>
  <c r="H122" i="1"/>
  <c r="H121" i="1"/>
  <c r="H120" i="1"/>
  <c r="H119" i="1"/>
  <c r="H118" i="1"/>
  <c r="H117" i="1"/>
  <c r="H116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3" i="1"/>
  <c r="H94" i="1"/>
  <c r="H95" i="1"/>
  <c r="H96" i="1"/>
  <c r="H97" i="1"/>
  <c r="H98" i="1"/>
  <c r="H99" i="1"/>
  <c r="H92" i="1"/>
  <c r="H9" i="1"/>
  <c r="H6" i="1"/>
  <c r="H18" i="1"/>
  <c r="H22" i="1"/>
  <c r="H36" i="1"/>
  <c r="H53" i="1"/>
  <c r="H60" i="1"/>
  <c r="H80" i="1"/>
  <c r="H85" i="1"/>
  <c r="H91" i="1"/>
  <c r="H90" i="1"/>
  <c r="H89" i="1"/>
  <c r="H88" i="1"/>
  <c r="H87" i="1"/>
  <c r="H86" i="1"/>
  <c r="H84" i="1"/>
  <c r="H83" i="1"/>
  <c r="H82" i="1"/>
  <c r="H81" i="1"/>
  <c r="H79" i="1"/>
  <c r="H78" i="1"/>
  <c r="H77" i="1"/>
  <c r="H75" i="1"/>
  <c r="H67" i="1"/>
  <c r="H66" i="1"/>
  <c r="H65" i="1"/>
  <c r="H64" i="1"/>
  <c r="H63" i="1"/>
  <c r="H62" i="1"/>
  <c r="H55" i="1"/>
  <c r="H54" i="1"/>
  <c r="H52" i="1"/>
  <c r="H51" i="1"/>
  <c r="H50" i="1"/>
  <c r="H49" i="1"/>
  <c r="H48" i="1"/>
  <c r="H47" i="1"/>
  <c r="H46" i="1"/>
  <c r="H45" i="1"/>
  <c r="H44" i="1"/>
  <c r="H61" i="1"/>
  <c r="H59" i="1"/>
  <c r="H58" i="1"/>
  <c r="H57" i="1"/>
  <c r="H56" i="1"/>
  <c r="H7" i="1"/>
  <c r="H5" i="1"/>
  <c r="H4" i="1"/>
  <c r="H3" i="1"/>
  <c r="H2" i="1"/>
  <c r="H25" i="1"/>
  <c r="H24" i="1"/>
  <c r="H23" i="1"/>
  <c r="H21" i="1"/>
  <c r="H20" i="1"/>
  <c r="H43" i="1"/>
  <c r="H42" i="1"/>
  <c r="H41" i="1"/>
  <c r="H40" i="1"/>
  <c r="H39" i="1"/>
  <c r="H38" i="1"/>
  <c r="H37" i="1"/>
  <c r="H35" i="1"/>
  <c r="H34" i="1"/>
  <c r="H33" i="1"/>
  <c r="H32" i="1"/>
  <c r="H19" i="1"/>
  <c r="H17" i="1"/>
  <c r="H16" i="1"/>
  <c r="H15" i="1"/>
  <c r="H14" i="1"/>
  <c r="H31" i="1"/>
  <c r="H30" i="1"/>
  <c r="H29" i="1"/>
  <c r="H28" i="1"/>
  <c r="H27" i="1"/>
  <c r="H26" i="1"/>
  <c r="H8" i="1"/>
  <c r="H10" i="1"/>
  <c r="H11" i="1"/>
  <c r="H12" i="1"/>
  <c r="H13" i="1"/>
</calcChain>
</file>

<file path=xl/sharedStrings.xml><?xml version="1.0" encoding="utf-8"?>
<sst xmlns="http://schemas.openxmlformats.org/spreadsheetml/2006/main" count="3927" uniqueCount="259">
  <si>
    <t>平行杆</t>
    <phoneticPr fontId="2" type="noConversion"/>
  </si>
  <si>
    <t>转速（rpm）</t>
    <phoneticPr fontId="2" type="noConversion"/>
  </si>
  <si>
    <t>电流（A）</t>
    <phoneticPr fontId="2" type="noConversion"/>
  </si>
  <si>
    <t>磁场（T）</t>
    <phoneticPr fontId="2" type="noConversion"/>
  </si>
  <si>
    <t>扭矩（mNm）</t>
    <phoneticPr fontId="2" type="noConversion"/>
  </si>
  <si>
    <t>剪切应力（MPa）</t>
    <phoneticPr fontId="2" type="noConversion"/>
  </si>
  <si>
    <t>测试日期</t>
    <phoneticPr fontId="2" type="noConversion"/>
  </si>
  <si>
    <t>点阵2</t>
    <phoneticPr fontId="2" type="noConversion"/>
  </si>
  <si>
    <t>0508</t>
    <phoneticPr fontId="2" type="noConversion"/>
  </si>
  <si>
    <t>粗糙度2</t>
    <phoneticPr fontId="2" type="noConversion"/>
  </si>
  <si>
    <t>0509</t>
    <phoneticPr fontId="2" type="noConversion"/>
  </si>
  <si>
    <t>0511</t>
    <phoneticPr fontId="2" type="noConversion"/>
  </si>
  <si>
    <t>材料名称</t>
    <phoneticPr fontId="2" type="noConversion"/>
  </si>
  <si>
    <t>具体材料配比</t>
    <phoneticPr fontId="2" type="noConversion"/>
  </si>
  <si>
    <t>c24</t>
  </si>
  <si>
    <t>c24</t>
    <phoneticPr fontId="2" type="noConversion"/>
  </si>
  <si>
    <t>DKN10000-QX08-STBC-TYY55-92-0.4 6.6 3</t>
  </si>
  <si>
    <t>DKN10000-QX08-STBC-TYY55-92-0.4 6.6 3</t>
    <phoneticPr fontId="2" type="noConversion"/>
  </si>
  <si>
    <t>点阵2</t>
  </si>
  <si>
    <t>粗糙度2</t>
  </si>
  <si>
    <t>c25</t>
    <phoneticPr fontId="2" type="noConversion"/>
  </si>
  <si>
    <t>DKN10000-QZ05-STBC-TYY55-92-0.4 6.6 3</t>
  </si>
  <si>
    <t>DKN10000-QZ05-STBC-TYY55-92-0.4 6.6 3</t>
    <phoneticPr fontId="2" type="noConversion"/>
  </si>
  <si>
    <t>0508</t>
  </si>
  <si>
    <t>0509</t>
  </si>
  <si>
    <t>0511</t>
  </si>
  <si>
    <t>DKN7500-XD05-STBC-XD30-92.7-1 8 1</t>
    <phoneticPr fontId="2" type="noConversion"/>
  </si>
  <si>
    <t>粗糙度1</t>
    <phoneticPr fontId="2" type="noConversion"/>
  </si>
  <si>
    <t>0512</t>
    <phoneticPr fontId="2" type="noConversion"/>
  </si>
  <si>
    <t>DKN7500-XD05-STBC-XD30-92.7-1 8 1</t>
  </si>
  <si>
    <t>粗糙度1</t>
  </si>
  <si>
    <t>0512</t>
  </si>
  <si>
    <t>光滑</t>
    <phoneticPr fontId="2" type="noConversion"/>
  </si>
  <si>
    <t>0430</t>
    <phoneticPr fontId="2" type="noConversion"/>
  </si>
  <si>
    <t>0514</t>
    <phoneticPr fontId="2" type="noConversion"/>
  </si>
  <si>
    <t>PIB1300-QZ05-STBC-TYY55-90-0.4 8.6 1</t>
    <phoneticPr fontId="2" type="noConversion"/>
  </si>
  <si>
    <t>0513</t>
  </si>
  <si>
    <t>PIB1300-QZ05-STBC-TYY55-90-0.4 8.6 1</t>
  </si>
  <si>
    <t>DKN10000-QZ05-STBC-SmFeN-91.5-0.4 6.6 3</t>
    <phoneticPr fontId="2" type="noConversion"/>
  </si>
  <si>
    <t>DKN10000-QZ05-STBC-SmFeN-91.5-0.4 6.6 3</t>
  </si>
  <si>
    <t>DKN5000-ZY01-STBC-TYY55-92-0.4 6.6 3</t>
    <phoneticPr fontId="2" type="noConversion"/>
  </si>
  <si>
    <t>DKN5000-ZY01-STBC-TYY55-92-0.4 6.6 3</t>
  </si>
  <si>
    <t>0514</t>
  </si>
  <si>
    <t>c16</t>
    <phoneticPr fontId="2" type="noConversion"/>
  </si>
  <si>
    <t>c26</t>
    <phoneticPr fontId="2" type="noConversion"/>
  </si>
  <si>
    <t>c27</t>
    <phoneticPr fontId="2" type="noConversion"/>
  </si>
  <si>
    <t>c28</t>
    <phoneticPr fontId="2" type="noConversion"/>
  </si>
  <si>
    <t>DKN10000-QZ08-STBC-TYY55-91-0.4 8.6 1</t>
  </si>
  <si>
    <t>0515</t>
  </si>
  <si>
    <t>DKN10000-QZ08-STBC-TYY55-91-0.4 8.6 1</t>
    <phoneticPr fontId="2" type="noConversion"/>
  </si>
  <si>
    <t>DKN10000-XD05-STBC-XD30-91-0.4 8.6 1</t>
  </si>
  <si>
    <t>0516</t>
  </si>
  <si>
    <t>DKN5000-XD05-STBC-XD30-92.7-1 8 1</t>
  </si>
  <si>
    <t>0516</t>
    <phoneticPr fontId="2" type="noConversion"/>
  </si>
  <si>
    <t>0518</t>
    <phoneticPr fontId="2" type="noConversion"/>
  </si>
  <si>
    <t>DKN7500-ZY01-STBC-TYY55-92-0.4 6.6 3</t>
    <phoneticPr fontId="2" type="noConversion"/>
  </si>
  <si>
    <t>c25</t>
  </si>
  <si>
    <t>C26</t>
  </si>
  <si>
    <t>C27</t>
  </si>
  <si>
    <t>C28</t>
  </si>
  <si>
    <t>c16</t>
  </si>
  <si>
    <t>C29</t>
  </si>
  <si>
    <t>C30</t>
  </si>
  <si>
    <t>C31</t>
  </si>
  <si>
    <t>C32</t>
  </si>
  <si>
    <t>c32</t>
    <phoneticPr fontId="2" type="noConversion"/>
  </si>
  <si>
    <t>c31</t>
    <phoneticPr fontId="2" type="noConversion"/>
  </si>
  <si>
    <t>c30</t>
    <phoneticPr fontId="2" type="noConversion"/>
  </si>
  <si>
    <t>c29</t>
    <phoneticPr fontId="2" type="noConversion"/>
  </si>
  <si>
    <t>0519</t>
  </si>
  <si>
    <t>0519</t>
    <phoneticPr fontId="2" type="noConversion"/>
  </si>
  <si>
    <t>DKN5000-ZY01-STBC-TYY55-91.5-0.3 6.7 3</t>
  </si>
  <si>
    <t>c33</t>
    <phoneticPr fontId="2" type="noConversion"/>
  </si>
  <si>
    <t>c35</t>
  </si>
  <si>
    <t>DKN10000-XD05-STBC-XD30-92-0.4 8.6 1</t>
  </si>
  <si>
    <t>c34</t>
    <phoneticPr fontId="2" type="noConversion"/>
  </si>
  <si>
    <t>DKN10000-XD05-STBC-XD30-92-0.4 8.6 1</t>
    <phoneticPr fontId="2" type="noConversion"/>
  </si>
  <si>
    <t>DKN7500-XD05-STBC-XD30-92-1 8 1</t>
  </si>
  <si>
    <t>c35</t>
    <phoneticPr fontId="2" type="noConversion"/>
  </si>
  <si>
    <t>DKN7500-XD05-STBC-XD30-92-1 8 1</t>
    <phoneticPr fontId="2" type="noConversion"/>
  </si>
  <si>
    <t>DKN10000-QZ05-STBC-FeC2-92-0.4 6.6 3</t>
  </si>
  <si>
    <t>c36</t>
    <phoneticPr fontId="2" type="noConversion"/>
  </si>
  <si>
    <t>c38</t>
  </si>
  <si>
    <t>c39</t>
  </si>
  <si>
    <t>0520</t>
  </si>
  <si>
    <t>DKN5000-XD05-STBC-XD30-90-0.4 8.6 1</t>
  </si>
  <si>
    <t>c37</t>
    <phoneticPr fontId="2" type="noConversion"/>
  </si>
  <si>
    <t>DKN5000-XD05-STBC-XD30-90-0.4 8.6 1</t>
    <phoneticPr fontId="2" type="noConversion"/>
  </si>
  <si>
    <t>DKN5000-XD05-STBC-XD30-91-0.4 8.6 1</t>
  </si>
  <si>
    <t>DKN5000-XD05-STBC-XD30-91-0.4 8.6 1</t>
    <phoneticPr fontId="2" type="noConversion"/>
  </si>
  <si>
    <t>DKN5000-XD05-STBC-XD30-92-0.4 8.6 1</t>
  </si>
  <si>
    <t>DKN5000-XD05-STBC-XD30-92-0.4 8.6 1</t>
    <phoneticPr fontId="2" type="noConversion"/>
  </si>
  <si>
    <t>0520</t>
    <phoneticPr fontId="2" type="noConversion"/>
  </si>
  <si>
    <t>DKN10000-XD05-STBC-TYY55-91.5-0.4 6.6 3</t>
  </si>
  <si>
    <t>DKN10000-XD05-STBC-TYY55-91.5-0.4 6.6 3</t>
    <phoneticPr fontId="2" type="noConversion"/>
  </si>
  <si>
    <t>c40</t>
    <phoneticPr fontId="2" type="noConversion"/>
  </si>
  <si>
    <t>0521</t>
    <phoneticPr fontId="2" type="noConversion"/>
  </si>
  <si>
    <t>c41</t>
  </si>
  <si>
    <t>c42</t>
  </si>
  <si>
    <t>c43</t>
  </si>
  <si>
    <t>c44</t>
  </si>
  <si>
    <t>c45</t>
  </si>
  <si>
    <t>DKN10000-QX08-STBC-TYY55-91.5-0.4 6.6  3</t>
  </si>
  <si>
    <t>c41</t>
    <phoneticPr fontId="2" type="noConversion"/>
  </si>
  <si>
    <t>DKN50-QZ05-STBC-TYY55-91.9-1.17 6.87 1.96</t>
  </si>
  <si>
    <t>c42</t>
    <phoneticPr fontId="2" type="noConversion"/>
  </si>
  <si>
    <t>DKN10000-XD05-STBC-TYY55-92.5-0.4 6.6 3</t>
  </si>
  <si>
    <t>c43</t>
    <phoneticPr fontId="2" type="noConversion"/>
  </si>
  <si>
    <t>DKN10000-QZ05-STBC-TYY55-91.5-1 8 1</t>
  </si>
  <si>
    <t>c44</t>
    <phoneticPr fontId="2" type="noConversion"/>
  </si>
  <si>
    <t>0522</t>
    <phoneticPr fontId="2" type="noConversion"/>
  </si>
  <si>
    <t>c45</t>
    <phoneticPr fontId="2" type="noConversion"/>
  </si>
  <si>
    <t>DKN10000-QZ08-STBC-TYY55-92.5-0.4 6.6 3</t>
  </si>
  <si>
    <t>DKN10000-QZ08-STBC-TYY55-92.5-0.4 6.6 3</t>
    <phoneticPr fontId="2" type="noConversion"/>
  </si>
  <si>
    <t>DKN50-QZ05-STBC-YAFC-91.9-1.17 6.87 1.96</t>
  </si>
  <si>
    <t>c46</t>
  </si>
  <si>
    <t>c46</t>
    <phoneticPr fontId="2" type="noConversion"/>
  </si>
  <si>
    <t>c47</t>
  </si>
  <si>
    <t>c48</t>
  </si>
  <si>
    <t>c49</t>
  </si>
  <si>
    <t>c50</t>
  </si>
  <si>
    <t>c47</t>
    <phoneticPr fontId="2" type="noConversion"/>
  </si>
  <si>
    <t>DKN10000-QZ05-STBC-TYY55-90.5-1 8 1</t>
  </si>
  <si>
    <t>DKN10000-QZ05-STBC-TYY55-91.5-1.5 6.5 2</t>
  </si>
  <si>
    <t>c48</t>
    <phoneticPr fontId="2" type="noConversion"/>
  </si>
  <si>
    <t>DKN10000-QZ05-STBC-TYY55-92.5-1.5 6.5 2</t>
  </si>
  <si>
    <t>c49</t>
    <phoneticPr fontId="2" type="noConversion"/>
  </si>
  <si>
    <t>DKN10000-XD05-STBC-XD30-90-0.4 8.6 1</t>
  </si>
  <si>
    <t>c50</t>
    <phoneticPr fontId="2" type="noConversion"/>
  </si>
  <si>
    <t>DKN10000-QZ08-STBC-TYY55-92-0.4 6.6 3</t>
  </si>
  <si>
    <t>c51</t>
  </si>
  <si>
    <t>c51</t>
    <phoneticPr fontId="2" type="noConversion"/>
  </si>
  <si>
    <t>c52</t>
  </si>
  <si>
    <t>0523</t>
    <phoneticPr fontId="2" type="noConversion"/>
  </si>
  <si>
    <t>c52</t>
    <phoneticPr fontId="2" type="noConversion"/>
  </si>
  <si>
    <t>DKN10000-QZ08-STBC-TYY55-90-0.4 8.6 1</t>
    <phoneticPr fontId="2" type="noConversion"/>
  </si>
  <si>
    <t>0525</t>
    <phoneticPr fontId="2" type="noConversion"/>
  </si>
  <si>
    <t>DKN7500-ZY01-STBC-TYY55-92-0.4 6.6 3复配</t>
    <phoneticPr fontId="2" type="noConversion"/>
  </si>
  <si>
    <t>0525</t>
  </si>
  <si>
    <t>c16-2</t>
  </si>
  <si>
    <t>c16-2</t>
    <phoneticPr fontId="2" type="noConversion"/>
  </si>
  <si>
    <t>DKN5000-ZY01-STBC-TYY55-92-0.4 6.6 3复配</t>
  </si>
  <si>
    <t>DKN5000-ZY01-STBC-TYY55-92-0.4 6.6 3复配</t>
    <phoneticPr fontId="2" type="noConversion"/>
  </si>
  <si>
    <t>c53</t>
    <phoneticPr fontId="2" type="noConversion"/>
  </si>
  <si>
    <t>DKN7500-ZY01-STBC-TYY55-90-0.4 8.6 1</t>
  </si>
  <si>
    <t>c53</t>
  </si>
  <si>
    <t>C32-2</t>
  </si>
  <si>
    <t>DKN7500-ZY01-STBC-TYY55-92-0.4 6.6 3复配</t>
  </si>
  <si>
    <t>0526</t>
    <phoneticPr fontId="2" type="noConversion"/>
  </si>
  <si>
    <t>0515</t>
    <phoneticPr fontId="2" type="noConversion"/>
  </si>
  <si>
    <t>c54</t>
    <phoneticPr fontId="2" type="noConversion"/>
  </si>
  <si>
    <t>DKN7500-ZY01-STBC-TYY55-92-0.4 8.6 1</t>
  </si>
  <si>
    <t>c54</t>
  </si>
  <si>
    <t>DKN7500-ZY01-STBC-TYY55-92-0.4 8.6 1</t>
    <phoneticPr fontId="2" type="noConversion"/>
  </si>
  <si>
    <t>c56</t>
    <phoneticPr fontId="2" type="noConversion"/>
  </si>
  <si>
    <t>DKN10000-QZ05-STBC-TYY55-90-1.5 4.25 4.25</t>
  </si>
  <si>
    <t>PIB1300-ZY01-STBC-TYY55-90-0.4 8.6 1</t>
  </si>
  <si>
    <t>c55</t>
    <phoneticPr fontId="2" type="noConversion"/>
  </si>
  <si>
    <t>DKN10000-QZ05-STBC-TYY55-90-1.5 4.25 4.25</t>
    <phoneticPr fontId="2" type="noConversion"/>
  </si>
  <si>
    <t>0526</t>
  </si>
  <si>
    <t>c57</t>
    <phoneticPr fontId="2" type="noConversion"/>
  </si>
  <si>
    <t>DKN10000-QZ05-STBC-TYY55-90-1 4.5 4.5</t>
    <phoneticPr fontId="2" type="noConversion"/>
  </si>
  <si>
    <t>DKN7500-ZY01-STBC-TYY55-92-0.4 6.6 3</t>
  </si>
  <si>
    <t>0527</t>
    <phoneticPr fontId="2" type="noConversion"/>
  </si>
  <si>
    <t>c32</t>
  </si>
  <si>
    <t>0527</t>
  </si>
  <si>
    <t>c32-2</t>
    <phoneticPr fontId="2" type="noConversion"/>
  </si>
  <si>
    <t>c32-2</t>
  </si>
  <si>
    <t>c57</t>
  </si>
  <si>
    <t>DKN10000-QZ05-STBC-TYY55-90-1 4.5 4.5</t>
  </si>
  <si>
    <t>DKN50-QZ05-STBC-TYY55-91.9-1.17 6.87 1.96</t>
    <phoneticPr fontId="2" type="noConversion"/>
  </si>
  <si>
    <t>0528</t>
  </si>
  <si>
    <t>c56</t>
  </si>
  <si>
    <t xml:space="preserve"> </t>
    <phoneticPr fontId="2" type="noConversion"/>
  </si>
  <si>
    <t>c58</t>
    <phoneticPr fontId="2" type="noConversion"/>
  </si>
  <si>
    <t>DKN10000-QZ05-STBC-RPT-90-0.4 8.6 1</t>
  </si>
  <si>
    <t>0529</t>
    <phoneticPr fontId="2" type="noConversion"/>
  </si>
  <si>
    <t>c58</t>
  </si>
  <si>
    <t>0529</t>
  </si>
  <si>
    <t>c27</t>
  </si>
  <si>
    <t>0601</t>
  </si>
  <si>
    <t>0602</t>
    <phoneticPr fontId="2" type="noConversion"/>
  </si>
  <si>
    <t>0602</t>
  </si>
  <si>
    <t>0603</t>
    <phoneticPr fontId="2" type="noConversion"/>
  </si>
  <si>
    <t>c31</t>
  </si>
  <si>
    <t>0603</t>
  </si>
  <si>
    <t>c36</t>
  </si>
  <si>
    <t>DKN10000-XD05-STBC-TYY55-91.5-0.4 6.6 4</t>
  </si>
  <si>
    <t>c40</t>
  </si>
  <si>
    <t>c39</t>
    <phoneticPr fontId="2" type="noConversion"/>
  </si>
  <si>
    <t>c59</t>
    <phoneticPr fontId="2" type="noConversion"/>
  </si>
  <si>
    <t>DKN10000-QZ05-STBC-TYY55-RPT-90-0.4 8.6 0.5 0.5</t>
  </si>
  <si>
    <t>c60</t>
    <phoneticPr fontId="2" type="noConversion"/>
  </si>
  <si>
    <t>DKN7500-YAFC-90</t>
  </si>
  <si>
    <t>c61</t>
    <phoneticPr fontId="2" type="noConversion"/>
  </si>
  <si>
    <t>DKN10000-QZ05-STBC-TYY55-RPT-91-0.4 8.6 0.5 0.5</t>
  </si>
  <si>
    <t>0604</t>
    <phoneticPr fontId="2" type="noConversion"/>
  </si>
  <si>
    <t>c59</t>
  </si>
  <si>
    <t>0604</t>
  </si>
  <si>
    <t>c62</t>
    <phoneticPr fontId="2" type="noConversion"/>
  </si>
  <si>
    <t>DKN10000-QZ05-STBC-TYY55-90-0.4 6.6 3</t>
  </si>
  <si>
    <t>c63</t>
    <phoneticPr fontId="2" type="noConversion"/>
  </si>
  <si>
    <t>DKN10000-QZ05-STBC-BACN-92-0.4 6.6 3</t>
  </si>
  <si>
    <t>c25-605</t>
    <phoneticPr fontId="2" type="noConversion"/>
  </si>
  <si>
    <t>0608</t>
    <phoneticPr fontId="2" type="noConversion"/>
  </si>
  <si>
    <t>c25-605</t>
  </si>
  <si>
    <t>0608</t>
  </si>
  <si>
    <t>c62</t>
  </si>
  <si>
    <t>c63</t>
  </si>
  <si>
    <t>c25-429</t>
  </si>
  <si>
    <t>c25-408</t>
  </si>
  <si>
    <t>c25-408(75℃)</t>
    <phoneticPr fontId="2" type="noConversion"/>
  </si>
  <si>
    <t>c25-408(-10℃)</t>
    <phoneticPr fontId="2" type="noConversion"/>
  </si>
  <si>
    <t>0609</t>
    <phoneticPr fontId="2" type="noConversion"/>
  </si>
  <si>
    <t>0609</t>
  </si>
  <si>
    <t>DKN50-QZ05-STBC-TYY55-91.9-1.17 6.87 1,96</t>
  </si>
  <si>
    <t>c64</t>
    <phoneticPr fontId="2" type="noConversion"/>
  </si>
  <si>
    <t>DKN10000-QZ05-STBC-TYY55-90-0.5 4.75 4.75</t>
  </si>
  <si>
    <t>c65</t>
    <phoneticPr fontId="2" type="noConversion"/>
  </si>
  <si>
    <t>DKN10000-QZ05-STBC-TYY55-90-1 3 6</t>
  </si>
  <si>
    <t>c66</t>
    <phoneticPr fontId="2" type="noConversion"/>
  </si>
  <si>
    <t>DKN10000-QZ05-STBC-TYY55-90-1 8 1</t>
    <phoneticPr fontId="2" type="noConversion"/>
  </si>
  <si>
    <t>c67</t>
    <phoneticPr fontId="2" type="noConversion"/>
  </si>
  <si>
    <t>DKN10000-QZ05-STBC-90-1 9</t>
  </si>
  <si>
    <t>0610</t>
    <phoneticPr fontId="2" type="noConversion"/>
  </si>
  <si>
    <t>c64</t>
  </si>
  <si>
    <t>0610</t>
  </si>
  <si>
    <t>c65</t>
  </si>
  <si>
    <t>c66</t>
  </si>
  <si>
    <t>DKN10000-QZ05-STBC-TYY55-90-1 8 1</t>
  </si>
  <si>
    <t>c67</t>
  </si>
  <si>
    <t>c68</t>
    <phoneticPr fontId="2" type="noConversion"/>
  </si>
  <si>
    <t>DKN10000-QZ05-STBC-TYY55-90-1 1 8</t>
  </si>
  <si>
    <t>c68</t>
  </si>
  <si>
    <t>c69</t>
    <phoneticPr fontId="2" type="noConversion"/>
  </si>
  <si>
    <t>DKN10000-QZ05-STBC-TYY55-STBC-90-1 8.5 0.5</t>
  </si>
  <si>
    <t>0612</t>
    <phoneticPr fontId="2" type="noConversion"/>
  </si>
  <si>
    <t>c69</t>
  </si>
  <si>
    <t>0612</t>
  </si>
  <si>
    <t>c70</t>
    <phoneticPr fontId="2" type="noConversion"/>
  </si>
  <si>
    <t>DKN10000-QZ05-STBC-TYY55-90-1 6 3</t>
  </si>
  <si>
    <t>c70</t>
  </si>
  <si>
    <t>c71</t>
    <phoneticPr fontId="2" type="noConversion"/>
  </si>
  <si>
    <t>DKN10000-BAHQ-BACN-91-7 3</t>
  </si>
  <si>
    <t>c72</t>
    <phoneticPr fontId="2" type="noConversion"/>
  </si>
  <si>
    <t>DKN10000-BAHQ-STBC-TYY55-92-0.4 6.6 3</t>
  </si>
  <si>
    <t>c73</t>
    <phoneticPr fontId="2" type="noConversion"/>
  </si>
  <si>
    <t>DKN10000-BAHQ-BACN-91-3 7</t>
  </si>
  <si>
    <t>c74</t>
    <phoneticPr fontId="2" type="noConversion"/>
  </si>
  <si>
    <t>DKN10000-BAHQ-BACN-TYY55-92-0.4 6.6 3</t>
  </si>
  <si>
    <t>c71</t>
  </si>
  <si>
    <t>c74</t>
  </si>
  <si>
    <t>DKN10000-BAHQ-BACN-91-7 3</t>
    <phoneticPr fontId="2" type="noConversion"/>
  </si>
  <si>
    <t>DKN10000-BAHQ-BACN-91-3 7</t>
    <phoneticPr fontId="2" type="noConversion"/>
  </si>
  <si>
    <t>c25-609</t>
  </si>
  <si>
    <t>c25-609</t>
    <phoneticPr fontId="2" type="noConversion"/>
  </si>
  <si>
    <t>0615</t>
    <phoneticPr fontId="2" type="noConversion"/>
  </si>
  <si>
    <t>c25-408</t>
    <phoneticPr fontId="2" type="noConversion"/>
  </si>
  <si>
    <t>0616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</si>
</sst>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/>
    <xf numFmtId="0" fontId="3" fillId="2" borderId="0" xfId="1" applyFont="1" applyAlignment="1"/>
    <xf numFmtId="176" fontId="3" fillId="2" borderId="0" xfId="1" applyNumberFormat="1" applyFont="1" applyAlignment="1"/>
    <xf numFmtId="176" fontId="0" fillId="0" borderId="0" xfId="0" applyNumberFormat="1"/>
    <xf numFmtId="177" fontId="3" fillId="2" borderId="0" xfId="1" applyNumberFormat="1" applyFont="1" applyAlignment="1"/>
    <xf numFmtId="177" fontId="0" fillId="0" borderId="0" xfId="0" applyNumberFormat="1"/>
    <xf numFmtId="0" fontId="1" fillId="5" borderId="0" xfId="4" applyAlignment="1">
      <alignment vertical="center"/>
    </xf>
    <xf numFmtId="0" fontId="1" fillId="5" borderId="0" xfId="4" applyAlignment="1">
      <alignment horizontal="center" vertical="center"/>
    </xf>
    <xf numFmtId="0" fontId="1" fillId="5" borderId="0" xfId="4" applyAlignment="1"/>
    <xf numFmtId="176" fontId="1" fillId="5" borderId="0" xfId="4" applyNumberFormat="1" applyAlignment="1"/>
    <xf numFmtId="177" fontId="1" fillId="5" borderId="0" xfId="4" applyNumberFormat="1" applyAlignment="1"/>
    <xf numFmtId="49" fontId="1" fillId="5" borderId="0" xfId="4" applyNumberFormat="1" applyAlignment="1">
      <alignment vertical="center"/>
    </xf>
    <xf numFmtId="0" fontId="1" fillId="3" borderId="0" xfId="2" applyAlignment="1">
      <alignment vertical="center"/>
    </xf>
    <xf numFmtId="0" fontId="1" fillId="3" borderId="0" xfId="2" applyAlignment="1">
      <alignment horizontal="center" vertical="center"/>
    </xf>
    <xf numFmtId="0" fontId="1" fillId="3" borderId="0" xfId="2" applyAlignment="1"/>
    <xf numFmtId="176" fontId="1" fillId="3" borderId="0" xfId="2" applyNumberFormat="1" applyAlignment="1"/>
    <xf numFmtId="177" fontId="1" fillId="3" borderId="0" xfId="2" applyNumberFormat="1" applyAlignment="1"/>
    <xf numFmtId="49" fontId="1" fillId="3" borderId="0" xfId="2" applyNumberFormat="1" applyAlignment="1">
      <alignment vertical="center"/>
    </xf>
    <xf numFmtId="0" fontId="1" fillId="4" borderId="0" xfId="3" applyAlignment="1">
      <alignment vertical="center"/>
    </xf>
    <xf numFmtId="0" fontId="1" fillId="4" borderId="0" xfId="3" applyAlignment="1">
      <alignment horizontal="center" vertical="center"/>
    </xf>
    <xf numFmtId="0" fontId="1" fillId="4" borderId="0" xfId="3" applyAlignment="1"/>
    <xf numFmtId="176" fontId="1" fillId="4" borderId="0" xfId="3" applyNumberFormat="1" applyAlignment="1"/>
    <xf numFmtId="177" fontId="1" fillId="4" borderId="0" xfId="3" applyNumberFormat="1" applyAlignment="1"/>
    <xf numFmtId="49" fontId="1" fillId="4" borderId="0" xfId="3" applyNumberFormat="1" applyAlignment="1">
      <alignment vertical="center"/>
    </xf>
    <xf numFmtId="0" fontId="3" fillId="2" borderId="0" xfId="1" applyFont="1" applyAlignment="1">
      <alignment vertical="center"/>
    </xf>
    <xf numFmtId="0" fontId="1" fillId="6" borderId="0" xfId="5" applyAlignment="1"/>
    <xf numFmtId="0" fontId="1" fillId="6" borderId="0" xfId="5" applyAlignment="1">
      <alignment vertical="center"/>
    </xf>
    <xf numFmtId="176" fontId="1" fillId="6" borderId="0" xfId="5" applyNumberFormat="1" applyAlignment="1"/>
    <xf numFmtId="177" fontId="1" fillId="6" borderId="0" xfId="5" applyNumberFormat="1" applyAlignment="1"/>
    <xf numFmtId="49" fontId="1" fillId="6" borderId="0" xfId="5" applyNumberFormat="1" applyAlignment="1">
      <alignment vertical="center"/>
    </xf>
    <xf numFmtId="0" fontId="1" fillId="6" borderId="0" xfId="5" applyAlignment="1">
      <alignment horizontal="center"/>
    </xf>
    <xf numFmtId="0" fontId="1" fillId="2" borderId="0" xfId="1" applyAlignment="1">
      <alignment vertical="center"/>
    </xf>
    <xf numFmtId="0" fontId="1" fillId="2" borderId="0" xfId="1" applyAlignment="1">
      <alignment horizontal="center" vertical="center"/>
    </xf>
    <xf numFmtId="0" fontId="1" fillId="2" borderId="0" xfId="1" applyAlignment="1"/>
    <xf numFmtId="176" fontId="1" fillId="2" borderId="0" xfId="1" applyNumberFormat="1" applyAlignment="1"/>
    <xf numFmtId="177" fontId="1" fillId="2" borderId="0" xfId="1" applyNumberFormat="1" applyAlignment="1"/>
    <xf numFmtId="49" fontId="1" fillId="2" borderId="0" xfId="1" applyNumberFormat="1" applyAlignment="1">
      <alignment vertical="center"/>
    </xf>
    <xf numFmtId="0" fontId="3" fillId="0" borderId="0" xfId="4" applyFont="1" applyFill="1" applyAlignment="1">
      <alignment vertical="center"/>
    </xf>
    <xf numFmtId="0" fontId="3" fillId="0" borderId="0" xfId="0" applyFont="1"/>
    <xf numFmtId="0" fontId="4" fillId="0" borderId="0" xfId="4" applyFont="1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1" fillId="7" borderId="0" xfId="3" applyFill="1" applyAlignment="1">
      <alignment vertical="center"/>
    </xf>
    <xf numFmtId="0" fontId="1" fillId="7" borderId="0" xfId="3" applyFill="1" applyAlignment="1"/>
    <xf numFmtId="176" fontId="0" fillId="7" borderId="0" xfId="0" applyNumberFormat="1" applyFill="1"/>
    <xf numFmtId="0" fontId="1" fillId="7" borderId="0" xfId="2" applyFill="1" applyAlignment="1"/>
    <xf numFmtId="177" fontId="0" fillId="7" borderId="0" xfId="0" applyNumberFormat="1" applyFill="1"/>
    <xf numFmtId="49" fontId="1" fillId="7" borderId="0" xfId="3" applyNumberFormat="1" applyFill="1" applyAlignment="1">
      <alignment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1" fillId="8" borderId="0" xfId="3" applyFill="1" applyBorder="1" applyAlignment="1">
      <alignment vertical="center"/>
    </xf>
    <xf numFmtId="0" fontId="1" fillId="8" borderId="0" xfId="3" applyFill="1" applyBorder="1" applyAlignment="1"/>
    <xf numFmtId="176" fontId="0" fillId="8" borderId="0" xfId="0" applyNumberFormat="1" applyFill="1"/>
    <xf numFmtId="0" fontId="0" fillId="8" borderId="0" xfId="0" applyFill="1"/>
    <xf numFmtId="177" fontId="0" fillId="8" borderId="0" xfId="0" applyNumberFormat="1" applyFill="1"/>
    <xf numFmtId="49" fontId="1" fillId="8" borderId="0" xfId="3" applyNumberFormat="1" applyFill="1" applyBorder="1" applyAlignment="1">
      <alignment vertical="center"/>
    </xf>
    <xf numFmtId="0" fontId="1" fillId="5" borderId="0" xfId="4" applyBorder="1" applyAlignment="1">
      <alignment vertical="center"/>
    </xf>
    <xf numFmtId="0" fontId="1" fillId="5" borderId="0" xfId="4" applyBorder="1" applyAlignment="1"/>
    <xf numFmtId="49" fontId="1" fillId="5" borderId="0" xfId="4" applyNumberFormat="1" applyBorder="1" applyAlignment="1">
      <alignment vertical="center"/>
    </xf>
    <xf numFmtId="0" fontId="1" fillId="9" borderId="0" xfId="4" applyFill="1" applyAlignment="1"/>
    <xf numFmtId="0" fontId="0" fillId="9" borderId="0" xfId="0" applyFill="1" applyAlignment="1">
      <alignment horizontal="center" vertical="center"/>
    </xf>
    <xf numFmtId="0" fontId="1" fillId="9" borderId="0" xfId="4" applyFill="1" applyBorder="1" applyAlignment="1">
      <alignment vertical="center"/>
    </xf>
    <xf numFmtId="0" fontId="1" fillId="9" borderId="0" xfId="4" applyFill="1" applyBorder="1" applyAlignment="1"/>
    <xf numFmtId="176" fontId="0" fillId="9" borderId="0" xfId="0" applyNumberFormat="1" applyFill="1"/>
    <xf numFmtId="177" fontId="0" fillId="9" borderId="0" xfId="0" applyNumberFormat="1" applyFill="1"/>
    <xf numFmtId="49" fontId="1" fillId="9" borderId="0" xfId="4" applyNumberFormat="1" applyFill="1" applyBorder="1" applyAlignment="1">
      <alignment vertical="center"/>
    </xf>
    <xf numFmtId="0" fontId="1" fillId="7" borderId="0" xfId="4" applyFill="1" applyAlignment="1"/>
    <xf numFmtId="0" fontId="1" fillId="7" borderId="0" xfId="4" applyFill="1" applyBorder="1" applyAlignment="1">
      <alignment vertical="center"/>
    </xf>
    <xf numFmtId="0" fontId="1" fillId="7" borderId="0" xfId="4" applyFill="1" applyBorder="1" applyAlignment="1"/>
    <xf numFmtId="49" fontId="1" fillId="7" borderId="0" xfId="4" applyNumberFormat="1" applyFill="1" applyBorder="1" applyAlignment="1">
      <alignment vertical="center"/>
    </xf>
    <xf numFmtId="0" fontId="1" fillId="8" borderId="0" xfId="4" applyFill="1" applyBorder="1" applyAlignment="1">
      <alignment vertical="center"/>
    </xf>
    <xf numFmtId="0" fontId="1" fillId="8" borderId="0" xfId="4" applyFill="1" applyBorder="1" applyAlignment="1"/>
    <xf numFmtId="0" fontId="1" fillId="8" borderId="0" xfId="4" applyFill="1" applyAlignment="1"/>
    <xf numFmtId="49" fontId="1" fillId="8" borderId="0" xfId="4" applyNumberFormat="1" applyFill="1" applyBorder="1" applyAlignment="1">
      <alignment vertical="center"/>
    </xf>
    <xf numFmtId="0" fontId="0" fillId="9" borderId="0" xfId="0" applyFill="1"/>
    <xf numFmtId="49" fontId="1" fillId="10" borderId="0" xfId="4" applyNumberFormat="1" applyFill="1" applyBorder="1" applyAlignment="1">
      <alignment vertical="center"/>
    </xf>
    <xf numFmtId="0" fontId="0" fillId="10" borderId="0" xfId="0" applyFill="1" applyAlignment="1">
      <alignment horizontal="center" vertical="center"/>
    </xf>
    <xf numFmtId="0" fontId="1" fillId="10" borderId="0" xfId="4" applyFill="1" applyBorder="1" applyAlignment="1">
      <alignment vertical="center"/>
    </xf>
    <xf numFmtId="0" fontId="1" fillId="10" borderId="0" xfId="4" applyFill="1" applyBorder="1" applyAlignment="1"/>
    <xf numFmtId="176" fontId="0" fillId="10" borderId="0" xfId="0" applyNumberFormat="1" applyFill="1"/>
    <xf numFmtId="0" fontId="0" fillId="10" borderId="0" xfId="0" applyFill="1"/>
    <xf numFmtId="177" fontId="0" fillId="10" borderId="0" xfId="0" applyNumberFormat="1" applyFill="1"/>
    <xf numFmtId="0" fontId="1" fillId="2" borderId="0" xfId="1" applyBorder="1" applyAlignment="1">
      <alignment vertical="center"/>
    </xf>
    <xf numFmtId="0" fontId="1" fillId="2" borderId="0" xfId="1" applyBorder="1" applyAlignment="1"/>
    <xf numFmtId="49" fontId="1" fillId="2" borderId="0" xfId="1" applyNumberFormat="1" applyBorder="1" applyAlignment="1">
      <alignment vertical="center"/>
    </xf>
    <xf numFmtId="49" fontId="1" fillId="4" borderId="0" xfId="3" applyNumberFormat="1" applyBorder="1" applyAlignment="1">
      <alignment vertical="center"/>
    </xf>
    <xf numFmtId="0" fontId="1" fillId="4" borderId="0" xfId="3" applyBorder="1" applyAlignment="1">
      <alignment vertical="center"/>
    </xf>
    <xf numFmtId="0" fontId="1" fillId="4" borderId="0" xfId="3" applyBorder="1" applyAlignment="1"/>
    <xf numFmtId="49" fontId="1" fillId="3" borderId="0" xfId="2" applyNumberFormat="1" applyBorder="1" applyAlignment="1">
      <alignment vertical="center"/>
    </xf>
    <xf numFmtId="0" fontId="1" fillId="3" borderId="0" xfId="2" applyBorder="1" applyAlignment="1">
      <alignment vertical="center"/>
    </xf>
    <xf numFmtId="0" fontId="1" fillId="3" borderId="0" xfId="2" applyBorder="1" applyAlignment="1"/>
    <xf numFmtId="0" fontId="1" fillId="2" borderId="0" xfId="1" applyAlignment="1">
      <alignment horizontal="right" vertical="center" wrapText="1" readingOrder="1"/>
    </xf>
    <xf numFmtId="49" fontId="1" fillId="11" borderId="0" xfId="4" applyNumberFormat="1" applyFill="1" applyBorder="1" applyAlignment="1">
      <alignment vertical="center"/>
    </xf>
    <xf numFmtId="0" fontId="0" fillId="11" borderId="0" xfId="0" applyFill="1" applyAlignment="1">
      <alignment horizontal="center" vertical="center"/>
    </xf>
    <xf numFmtId="0" fontId="1" fillId="11" borderId="0" xfId="4" applyFill="1" applyBorder="1" applyAlignment="1">
      <alignment vertical="center"/>
    </xf>
    <xf numFmtId="0" fontId="1" fillId="11" borderId="0" xfId="4" applyFill="1" applyBorder="1" applyAlignment="1"/>
    <xf numFmtId="0" fontId="0" fillId="11" borderId="0" xfId="0" applyFill="1" applyAlignment="1">
      <alignment vertical="center"/>
    </xf>
    <xf numFmtId="177" fontId="0" fillId="11" borderId="0" xfId="0" applyNumberFormat="1" applyFill="1"/>
    <xf numFmtId="0" fontId="0" fillId="8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0" xfId="2" applyFill="1" applyAlignment="1">
      <alignment vertical="center"/>
    </xf>
    <xf numFmtId="0" fontId="1" fillId="0" borderId="0" xfId="1" applyFill="1" applyAlignment="1">
      <alignment vertical="center"/>
    </xf>
    <xf numFmtId="0" fontId="1" fillId="0" borderId="0" xfId="3" applyFill="1" applyAlignment="1">
      <alignment vertical="center"/>
    </xf>
    <xf numFmtId="49" fontId="1" fillId="6" borderId="0" xfId="5" applyNumberFormat="1" applyBorder="1" applyAlignment="1">
      <alignment vertical="center"/>
    </xf>
    <xf numFmtId="0" fontId="1" fillId="6" borderId="0" xfId="5" applyAlignment="1">
      <alignment horizontal="center" vertical="center"/>
    </xf>
    <xf numFmtId="0" fontId="1" fillId="6" borderId="0" xfId="5" applyBorder="1" applyAlignment="1">
      <alignment vertical="center"/>
    </xf>
    <xf numFmtId="0" fontId="1" fillId="6" borderId="0" xfId="5" applyBorder="1" applyAlignment="1"/>
    <xf numFmtId="0" fontId="1" fillId="10" borderId="0" xfId="6" applyFill="1">
      <alignment vertical="center"/>
    </xf>
    <xf numFmtId="49" fontId="5" fillId="7" borderId="0" xfId="4" applyNumberFormat="1" applyFont="1" applyFill="1" applyBorder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0" xfId="4" applyFont="1" applyFill="1" applyBorder="1" applyAlignment="1">
      <alignment vertical="center"/>
    </xf>
    <xf numFmtId="0" fontId="5" fillId="7" borderId="0" xfId="4" applyFont="1" applyFill="1" applyBorder="1" applyAlignment="1"/>
    <xf numFmtId="0" fontId="5" fillId="7" borderId="0" xfId="0" applyFont="1" applyFill="1" applyAlignment="1">
      <alignment vertical="center"/>
    </xf>
    <xf numFmtId="177" fontId="5" fillId="7" borderId="0" xfId="0" applyNumberFormat="1" applyFont="1" applyFill="1"/>
    <xf numFmtId="49" fontId="5" fillId="10" borderId="0" xfId="4" applyNumberFormat="1" applyFont="1" applyFill="1" applyBorder="1" applyAlignment="1">
      <alignment vertical="center"/>
    </xf>
    <xf numFmtId="0" fontId="5" fillId="10" borderId="0" xfId="4" applyFont="1" applyFill="1" applyBorder="1" applyAlignment="1">
      <alignment vertical="center"/>
    </xf>
    <xf numFmtId="0" fontId="5" fillId="10" borderId="0" xfId="4" applyFont="1" applyFill="1" applyBorder="1" applyAlignment="1"/>
    <xf numFmtId="177" fontId="5" fillId="10" borderId="0" xfId="0" applyNumberFormat="1" applyFont="1" applyFill="1"/>
    <xf numFmtId="49" fontId="5" fillId="11" borderId="0" xfId="4" applyNumberFormat="1" applyFont="1" applyFill="1" applyBorder="1" applyAlignment="1">
      <alignment vertical="center"/>
    </xf>
    <xf numFmtId="0" fontId="5" fillId="11" borderId="0" xfId="4" applyFont="1" applyFill="1" applyBorder="1" applyAlignment="1">
      <alignment vertical="center"/>
    </xf>
    <xf numFmtId="0" fontId="5" fillId="11" borderId="0" xfId="4" applyFont="1" applyFill="1" applyBorder="1" applyAlignment="1"/>
    <xf numFmtId="177" fontId="5" fillId="11" borderId="0" xfId="0" applyNumberFormat="1" applyFont="1" applyFill="1"/>
    <xf numFmtId="49" fontId="5" fillId="8" borderId="0" xfId="4" applyNumberFormat="1" applyFont="1" applyFill="1" applyBorder="1" applyAlignment="1">
      <alignment vertical="center"/>
    </xf>
    <xf numFmtId="0" fontId="5" fillId="8" borderId="0" xfId="4" applyFont="1" applyFill="1" applyBorder="1" applyAlignment="1">
      <alignment vertical="center"/>
    </xf>
    <xf numFmtId="0" fontId="5" fillId="8" borderId="0" xfId="4" applyFont="1" applyFill="1" applyBorder="1" applyAlignment="1"/>
    <xf numFmtId="177" fontId="5" fillId="8" borderId="0" xfId="0" applyNumberFormat="1" applyFont="1" applyFill="1"/>
    <xf numFmtId="0" fontId="6" fillId="0" borderId="0" xfId="4" applyFont="1" applyFill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/>
    </xf>
    <xf numFmtId="49" fontId="5" fillId="9" borderId="0" xfId="4" applyNumberFormat="1" applyFont="1" applyFill="1" applyBorder="1" applyAlignment="1">
      <alignment vertical="center"/>
    </xf>
    <xf numFmtId="0" fontId="5" fillId="9" borderId="0" xfId="4" applyFont="1" applyFill="1" applyBorder="1" applyAlignment="1">
      <alignment vertical="center"/>
    </xf>
    <xf numFmtId="0" fontId="5" fillId="9" borderId="0" xfId="4" applyFont="1" applyFill="1" applyBorder="1" applyAlignment="1"/>
    <xf numFmtId="177" fontId="5" fillId="9" borderId="0" xfId="0" applyNumberFormat="1" applyFont="1" applyFill="1"/>
  </cellXfs>
  <cellStyles count="7">
    <cellStyle name="20% - 着色 1" xfId="2" builtinId="30"/>
    <cellStyle name="20% - 着色 2" xfId="3" builtinId="34"/>
    <cellStyle name="20% - 着色 4" xfId="4" builtinId="42"/>
    <cellStyle name="20% - 着色 5" xfId="5" builtinId="46"/>
    <cellStyle name="20% - 着色 6" xfId="1" builtinId="50"/>
    <cellStyle name="常规" xfId="0" builtinId="0"/>
    <cellStyle name="常规 2" xfId="6" xr:uid="{CEEEE889-9105-44CE-AEBE-3BFA43F02C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123825</xdr:rowOff>
    </xdr:from>
    <xdr:to>
      <xdr:col>6</xdr:col>
      <xdr:colOff>619521</xdr:colOff>
      <xdr:row>15</xdr:row>
      <xdr:rowOff>152638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D7321DD-81E3-4D4E-8B96-A035DF84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23825"/>
          <a:ext cx="4572396" cy="2743438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0</xdr:row>
      <xdr:rowOff>104775</xdr:rowOff>
    </xdr:from>
    <xdr:to>
      <xdr:col>14</xdr:col>
      <xdr:colOff>476646</xdr:colOff>
      <xdr:row>16</xdr:row>
      <xdr:rowOff>44053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03A3063-FE6A-43AE-9B97-39048AC34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5850" y="104775"/>
          <a:ext cx="5181996" cy="28348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171450</xdr:rowOff>
    </xdr:from>
    <xdr:to>
      <xdr:col>7</xdr:col>
      <xdr:colOff>381396</xdr:colOff>
      <xdr:row>31</xdr:row>
      <xdr:rowOff>105013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AA44322-4F71-4E73-B949-B61D41BF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86075"/>
          <a:ext cx="5181996" cy="2829163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16</xdr:row>
      <xdr:rowOff>20955</xdr:rowOff>
    </xdr:from>
    <xdr:to>
      <xdr:col>15</xdr:col>
      <xdr:colOff>465216</xdr:colOff>
      <xdr:row>31</xdr:row>
      <xdr:rowOff>135493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163D8FA-7372-42B8-A242-8A4EA3F5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0220" y="2916555"/>
          <a:ext cx="5181996" cy="282916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33</xdr:row>
      <xdr:rowOff>0</xdr:rowOff>
    </xdr:from>
    <xdr:to>
      <xdr:col>7</xdr:col>
      <xdr:colOff>479226</xdr:colOff>
      <xdr:row>46</xdr:row>
      <xdr:rowOff>115429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81705DB-070C-45FF-A99D-E0ABA23A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1" y="5972175"/>
          <a:ext cx="5127425" cy="2468104"/>
        </a:xfrm>
        <a:prstGeom prst="rect">
          <a:avLst/>
        </a:prstGeom>
      </xdr:spPr>
    </xdr:pic>
    <xdr:clientData/>
  </xdr:twoCellAnchor>
  <xdr:twoCellAnchor editAs="oneCell">
    <xdr:from>
      <xdr:col>8</xdr:col>
      <xdr:colOff>165804</xdr:colOff>
      <xdr:row>32</xdr:row>
      <xdr:rowOff>171450</xdr:rowOff>
    </xdr:from>
    <xdr:to>
      <xdr:col>15</xdr:col>
      <xdr:colOff>205005</xdr:colOff>
      <xdr:row>46</xdr:row>
      <xdr:rowOff>28584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C6D4A81-7E9A-43AB-BD53-3BD7F3881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52204" y="5962650"/>
          <a:ext cx="4839801" cy="2390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3"/>
  <sheetViews>
    <sheetView tabSelected="1" zoomScale="115" zoomScaleNormal="115" workbookViewId="0">
      <pane ySplit="1" topLeftCell="A946" activePane="bottomLeft" state="frozen"/>
      <selection pane="bottomLeft" activeCell="B953" sqref="B953"/>
    </sheetView>
  </sheetViews>
  <sheetFormatPr defaultRowHeight="14.25" x14ac:dyDescent="0.2"/>
  <cols>
    <col min="1" max="1" width="39.875" customWidth="1"/>
    <col min="2" max="2" width="44.5" customWidth="1"/>
    <col min="4" max="4" width="5.375" customWidth="1"/>
    <col min="6" max="6" width="9" style="3"/>
    <col min="7" max="7" width="16.125" bestFit="1" customWidth="1"/>
    <col min="8" max="8" width="14.75" style="5" customWidth="1"/>
    <col min="9" max="9" width="10" bestFit="1" customWidth="1"/>
  </cols>
  <sheetData>
    <row r="1" spans="1:9" x14ac:dyDescent="0.2">
      <c r="A1" s="1" t="s">
        <v>12</v>
      </c>
      <c r="B1" s="24" t="s">
        <v>13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4" t="s">
        <v>5</v>
      </c>
      <c r="I1" s="1" t="s">
        <v>6</v>
      </c>
    </row>
    <row r="2" spans="1:9" x14ac:dyDescent="0.2">
      <c r="A2" s="6" t="s">
        <v>15</v>
      </c>
      <c r="B2" s="7" t="s">
        <v>16</v>
      </c>
      <c r="C2" s="6" t="s">
        <v>32</v>
      </c>
      <c r="D2" s="6">
        <v>60</v>
      </c>
      <c r="E2" s="8">
        <v>0</v>
      </c>
      <c r="F2" s="9">
        <v>0</v>
      </c>
      <c r="G2" s="8">
        <v>69</v>
      </c>
      <c r="H2" s="10">
        <f t="shared" ref="H2:H33" si="0">G2/1000*0.318319</f>
        <v>2.1964011000000002E-2</v>
      </c>
      <c r="I2" s="11" t="s">
        <v>33</v>
      </c>
    </row>
    <row r="3" spans="1:9" x14ac:dyDescent="0.2">
      <c r="A3" s="6" t="s">
        <v>15</v>
      </c>
      <c r="B3" s="7" t="s">
        <v>16</v>
      </c>
      <c r="C3" s="6" t="s">
        <v>32</v>
      </c>
      <c r="D3" s="6">
        <v>60</v>
      </c>
      <c r="E3" s="8">
        <v>2</v>
      </c>
      <c r="F3" s="9">
        <v>0.28000000000000003</v>
      </c>
      <c r="G3" s="8">
        <v>111</v>
      </c>
      <c r="H3" s="10">
        <f t="shared" si="0"/>
        <v>3.5333409000000003E-2</v>
      </c>
      <c r="I3" s="11" t="s">
        <v>33</v>
      </c>
    </row>
    <row r="4" spans="1:9" x14ac:dyDescent="0.2">
      <c r="A4" s="6" t="s">
        <v>15</v>
      </c>
      <c r="B4" s="7" t="s">
        <v>16</v>
      </c>
      <c r="C4" s="6" t="s">
        <v>32</v>
      </c>
      <c r="D4" s="6">
        <v>60</v>
      </c>
      <c r="E4" s="8">
        <v>4</v>
      </c>
      <c r="F4" s="9">
        <v>0.55000000000000004</v>
      </c>
      <c r="G4" s="8">
        <v>271</v>
      </c>
      <c r="H4" s="10">
        <f t="shared" si="0"/>
        <v>8.6264449000000007E-2</v>
      </c>
      <c r="I4" s="11" t="s">
        <v>33</v>
      </c>
    </row>
    <row r="5" spans="1:9" x14ac:dyDescent="0.2">
      <c r="A5" s="6" t="s">
        <v>15</v>
      </c>
      <c r="B5" s="7" t="s">
        <v>16</v>
      </c>
      <c r="C5" s="6" t="s">
        <v>32</v>
      </c>
      <c r="D5" s="6">
        <v>60</v>
      </c>
      <c r="E5" s="8">
        <v>6</v>
      </c>
      <c r="F5" s="9">
        <v>0.77</v>
      </c>
      <c r="G5" s="8">
        <v>394</v>
      </c>
      <c r="H5" s="10">
        <f t="shared" si="0"/>
        <v>0.125417686</v>
      </c>
      <c r="I5" s="11" t="s">
        <v>33</v>
      </c>
    </row>
    <row r="6" spans="1:9" x14ac:dyDescent="0.2">
      <c r="A6" s="6" t="s">
        <v>15</v>
      </c>
      <c r="B6" s="7" t="s">
        <v>16</v>
      </c>
      <c r="C6" s="6" t="s">
        <v>32</v>
      </c>
      <c r="D6" s="6">
        <v>60</v>
      </c>
      <c r="E6" s="8">
        <v>8</v>
      </c>
      <c r="F6" s="9">
        <v>0.88</v>
      </c>
      <c r="G6" s="8">
        <v>435</v>
      </c>
      <c r="H6" s="10">
        <f t="shared" si="0"/>
        <v>0.13846876499999999</v>
      </c>
      <c r="I6" s="11" t="s">
        <v>33</v>
      </c>
    </row>
    <row r="7" spans="1:9" x14ac:dyDescent="0.2">
      <c r="A7" s="6" t="s">
        <v>15</v>
      </c>
      <c r="B7" s="7" t="s">
        <v>16</v>
      </c>
      <c r="C7" s="6" t="s">
        <v>32</v>
      </c>
      <c r="D7" s="6">
        <v>60</v>
      </c>
      <c r="E7" s="8">
        <v>10</v>
      </c>
      <c r="F7" s="9">
        <v>0.93</v>
      </c>
      <c r="G7" s="8">
        <v>480</v>
      </c>
      <c r="H7" s="10">
        <f t="shared" si="0"/>
        <v>0.15279312</v>
      </c>
      <c r="I7" s="11" t="s">
        <v>33</v>
      </c>
    </row>
    <row r="8" spans="1:9" x14ac:dyDescent="0.2">
      <c r="A8" s="18" t="s">
        <v>15</v>
      </c>
      <c r="B8" s="19" t="s">
        <v>17</v>
      </c>
      <c r="C8" s="18" t="s">
        <v>7</v>
      </c>
      <c r="D8" s="18">
        <v>60</v>
      </c>
      <c r="E8" s="20">
        <v>0</v>
      </c>
      <c r="F8" s="21">
        <v>0</v>
      </c>
      <c r="G8" s="20">
        <v>100</v>
      </c>
      <c r="H8" s="22">
        <f t="shared" si="0"/>
        <v>3.1831900000000003E-2</v>
      </c>
      <c r="I8" s="23" t="s">
        <v>8</v>
      </c>
    </row>
    <row r="9" spans="1:9" x14ac:dyDescent="0.2">
      <c r="A9" s="18" t="s">
        <v>15</v>
      </c>
      <c r="B9" s="19" t="s">
        <v>17</v>
      </c>
      <c r="C9" s="18" t="s">
        <v>7</v>
      </c>
      <c r="D9" s="18">
        <v>60</v>
      </c>
      <c r="E9" s="20">
        <v>2</v>
      </c>
      <c r="F9" s="21">
        <v>0.3</v>
      </c>
      <c r="G9" s="20">
        <v>244</v>
      </c>
      <c r="H9" s="22">
        <f t="shared" si="0"/>
        <v>7.7669836000000006E-2</v>
      </c>
      <c r="I9" s="23" t="s">
        <v>8</v>
      </c>
    </row>
    <row r="10" spans="1:9" x14ac:dyDescent="0.2">
      <c r="A10" s="18" t="s">
        <v>15</v>
      </c>
      <c r="B10" s="19" t="s">
        <v>16</v>
      </c>
      <c r="C10" s="18" t="s">
        <v>18</v>
      </c>
      <c r="D10" s="18">
        <v>60</v>
      </c>
      <c r="E10" s="20">
        <v>4</v>
      </c>
      <c r="F10" s="21">
        <v>0.56999999999999995</v>
      </c>
      <c r="G10" s="20">
        <v>526</v>
      </c>
      <c r="H10" s="22">
        <f t="shared" si="0"/>
        <v>0.16743579400000003</v>
      </c>
      <c r="I10" s="23" t="s">
        <v>23</v>
      </c>
    </row>
    <row r="11" spans="1:9" x14ac:dyDescent="0.2">
      <c r="A11" s="18" t="s">
        <v>15</v>
      </c>
      <c r="B11" s="19" t="s">
        <v>16</v>
      </c>
      <c r="C11" s="18" t="s">
        <v>18</v>
      </c>
      <c r="D11" s="18">
        <v>60</v>
      </c>
      <c r="E11" s="20">
        <v>6</v>
      </c>
      <c r="F11" s="21">
        <v>0.79</v>
      </c>
      <c r="G11" s="20">
        <v>707</v>
      </c>
      <c r="H11" s="22">
        <f t="shared" si="0"/>
        <v>0.225051533</v>
      </c>
      <c r="I11" s="23" t="s">
        <v>23</v>
      </c>
    </row>
    <row r="12" spans="1:9" x14ac:dyDescent="0.2">
      <c r="A12" s="18" t="s">
        <v>15</v>
      </c>
      <c r="B12" s="19" t="s">
        <v>16</v>
      </c>
      <c r="C12" s="18" t="s">
        <v>18</v>
      </c>
      <c r="D12" s="18">
        <v>60</v>
      </c>
      <c r="E12" s="20">
        <v>8</v>
      </c>
      <c r="F12" s="21">
        <v>0.91</v>
      </c>
      <c r="G12" s="20">
        <v>809</v>
      </c>
      <c r="H12" s="22">
        <f t="shared" si="0"/>
        <v>0.25752007100000002</v>
      </c>
      <c r="I12" s="23" t="s">
        <v>23</v>
      </c>
    </row>
    <row r="13" spans="1:9" x14ac:dyDescent="0.2">
      <c r="A13" s="18" t="s">
        <v>15</v>
      </c>
      <c r="B13" s="19" t="s">
        <v>16</v>
      </c>
      <c r="C13" s="18" t="s">
        <v>18</v>
      </c>
      <c r="D13" s="18">
        <v>60</v>
      </c>
      <c r="E13" s="20">
        <v>10</v>
      </c>
      <c r="F13" s="21">
        <v>0.98</v>
      </c>
      <c r="G13" s="20">
        <v>894</v>
      </c>
      <c r="H13" s="22">
        <f t="shared" si="0"/>
        <v>0.28457718600000004</v>
      </c>
      <c r="I13" s="23" t="s">
        <v>23</v>
      </c>
    </row>
    <row r="14" spans="1:9" x14ac:dyDescent="0.2">
      <c r="A14" s="12" t="s">
        <v>14</v>
      </c>
      <c r="B14" s="13" t="s">
        <v>16</v>
      </c>
      <c r="C14" s="12" t="s">
        <v>9</v>
      </c>
      <c r="D14" s="12">
        <v>60</v>
      </c>
      <c r="E14" s="14">
        <v>0</v>
      </c>
      <c r="F14" s="15">
        <v>0</v>
      </c>
      <c r="G14" s="14">
        <v>85</v>
      </c>
      <c r="H14" s="16">
        <f t="shared" si="0"/>
        <v>2.7057115000000003E-2</v>
      </c>
      <c r="I14" s="17" t="s">
        <v>10</v>
      </c>
    </row>
    <row r="15" spans="1:9" x14ac:dyDescent="0.2">
      <c r="A15" s="12" t="s">
        <v>14</v>
      </c>
      <c r="B15" s="13" t="s">
        <v>16</v>
      </c>
      <c r="C15" s="12" t="s">
        <v>9</v>
      </c>
      <c r="D15" s="12">
        <v>60</v>
      </c>
      <c r="E15" s="14">
        <v>2</v>
      </c>
      <c r="F15" s="15">
        <v>0.28999999999999998</v>
      </c>
      <c r="G15" s="14">
        <v>116</v>
      </c>
      <c r="H15" s="16">
        <f t="shared" si="0"/>
        <v>3.6925004000000004E-2</v>
      </c>
      <c r="I15" s="17" t="s">
        <v>10</v>
      </c>
    </row>
    <row r="16" spans="1:9" x14ac:dyDescent="0.2">
      <c r="A16" s="12" t="s">
        <v>14</v>
      </c>
      <c r="B16" s="13" t="s">
        <v>16</v>
      </c>
      <c r="C16" s="12" t="s">
        <v>19</v>
      </c>
      <c r="D16" s="12">
        <v>60</v>
      </c>
      <c r="E16" s="14">
        <v>4</v>
      </c>
      <c r="F16" s="15">
        <v>0.56999999999999995</v>
      </c>
      <c r="G16" s="14">
        <v>413</v>
      </c>
      <c r="H16" s="16">
        <f t="shared" si="0"/>
        <v>0.13146574699999999</v>
      </c>
      <c r="I16" s="17" t="s">
        <v>24</v>
      </c>
    </row>
    <row r="17" spans="1:9" x14ac:dyDescent="0.2">
      <c r="A17" s="12" t="s">
        <v>15</v>
      </c>
      <c r="B17" s="13" t="s">
        <v>16</v>
      </c>
      <c r="C17" s="12" t="s">
        <v>19</v>
      </c>
      <c r="D17" s="12">
        <v>60</v>
      </c>
      <c r="E17" s="14">
        <v>6</v>
      </c>
      <c r="F17" s="15">
        <v>0.79</v>
      </c>
      <c r="G17" s="14">
        <v>676</v>
      </c>
      <c r="H17" s="16">
        <f t="shared" si="0"/>
        <v>0.21518364400000004</v>
      </c>
      <c r="I17" s="17" t="s">
        <v>24</v>
      </c>
    </row>
    <row r="18" spans="1:9" x14ac:dyDescent="0.2">
      <c r="A18" s="12" t="s">
        <v>15</v>
      </c>
      <c r="B18" s="13" t="s">
        <v>16</v>
      </c>
      <c r="C18" s="12" t="s">
        <v>19</v>
      </c>
      <c r="D18" s="12">
        <v>60</v>
      </c>
      <c r="E18" s="14">
        <v>8</v>
      </c>
      <c r="F18" s="15">
        <v>0.9</v>
      </c>
      <c r="G18" s="14">
        <v>785</v>
      </c>
      <c r="H18" s="16">
        <f t="shared" si="0"/>
        <v>0.24988041500000002</v>
      </c>
      <c r="I18" s="17" t="s">
        <v>24</v>
      </c>
    </row>
    <row r="19" spans="1:9" x14ac:dyDescent="0.2">
      <c r="A19" s="12" t="s">
        <v>15</v>
      </c>
      <c r="B19" s="13" t="s">
        <v>16</v>
      </c>
      <c r="C19" s="12" t="s">
        <v>19</v>
      </c>
      <c r="D19" s="12">
        <v>60</v>
      </c>
      <c r="E19" s="14">
        <v>10</v>
      </c>
      <c r="F19" s="15">
        <v>0.97</v>
      </c>
      <c r="G19" s="14">
        <v>850</v>
      </c>
      <c r="H19" s="16">
        <f t="shared" si="0"/>
        <v>0.27057114999999998</v>
      </c>
      <c r="I19" s="17" t="s">
        <v>24</v>
      </c>
    </row>
    <row r="20" spans="1:9" x14ac:dyDescent="0.2">
      <c r="A20" s="31" t="s">
        <v>20</v>
      </c>
      <c r="B20" s="32" t="s">
        <v>22</v>
      </c>
      <c r="C20" s="31" t="s">
        <v>27</v>
      </c>
      <c r="D20" s="31">
        <v>60</v>
      </c>
      <c r="E20" s="33">
        <v>0</v>
      </c>
      <c r="F20" s="34">
        <v>0</v>
      </c>
      <c r="G20" s="33">
        <v>8</v>
      </c>
      <c r="H20" s="35">
        <f t="shared" si="0"/>
        <v>2.5465520000000001E-3</v>
      </c>
      <c r="I20" s="36" t="s">
        <v>11</v>
      </c>
    </row>
    <row r="21" spans="1:9" x14ac:dyDescent="0.2">
      <c r="A21" s="31" t="s">
        <v>20</v>
      </c>
      <c r="B21" s="32" t="s">
        <v>22</v>
      </c>
      <c r="C21" s="31" t="s">
        <v>27</v>
      </c>
      <c r="D21" s="31">
        <v>60</v>
      </c>
      <c r="E21" s="33">
        <v>2</v>
      </c>
      <c r="F21" s="34">
        <v>0.28999999999999998</v>
      </c>
      <c r="G21" s="33">
        <v>44</v>
      </c>
      <c r="H21" s="35">
        <f t="shared" si="0"/>
        <v>1.4006035999999999E-2</v>
      </c>
      <c r="I21" s="36" t="s">
        <v>11</v>
      </c>
    </row>
    <row r="22" spans="1:9" x14ac:dyDescent="0.2">
      <c r="A22" s="31" t="s">
        <v>20</v>
      </c>
      <c r="B22" s="32" t="s">
        <v>21</v>
      </c>
      <c r="C22" s="31" t="s">
        <v>30</v>
      </c>
      <c r="D22" s="31">
        <v>60</v>
      </c>
      <c r="E22" s="33">
        <v>4</v>
      </c>
      <c r="F22" s="34">
        <v>0.56999999999999995</v>
      </c>
      <c r="G22" s="33">
        <v>317</v>
      </c>
      <c r="H22" s="35">
        <f t="shared" si="0"/>
        <v>0.100907123</v>
      </c>
      <c r="I22" s="36" t="s">
        <v>25</v>
      </c>
    </row>
    <row r="23" spans="1:9" x14ac:dyDescent="0.2">
      <c r="A23" s="31" t="s">
        <v>20</v>
      </c>
      <c r="B23" s="32" t="s">
        <v>21</v>
      </c>
      <c r="C23" s="31" t="s">
        <v>30</v>
      </c>
      <c r="D23" s="31">
        <v>60</v>
      </c>
      <c r="E23" s="33">
        <v>6</v>
      </c>
      <c r="F23" s="34">
        <v>0.79</v>
      </c>
      <c r="G23" s="33">
        <v>465</v>
      </c>
      <c r="H23" s="35">
        <f t="shared" si="0"/>
        <v>0.14801833500000003</v>
      </c>
      <c r="I23" s="36" t="s">
        <v>25</v>
      </c>
    </row>
    <row r="24" spans="1:9" x14ac:dyDescent="0.2">
      <c r="A24" s="31" t="s">
        <v>20</v>
      </c>
      <c r="B24" s="32" t="s">
        <v>21</v>
      </c>
      <c r="C24" s="31" t="s">
        <v>30</v>
      </c>
      <c r="D24" s="31">
        <v>60</v>
      </c>
      <c r="E24" s="33">
        <v>8</v>
      </c>
      <c r="F24" s="34">
        <v>0.89</v>
      </c>
      <c r="G24" s="33">
        <v>531</v>
      </c>
      <c r="H24" s="35">
        <f t="shared" si="0"/>
        <v>0.16902738900000003</v>
      </c>
      <c r="I24" s="36" t="s">
        <v>25</v>
      </c>
    </row>
    <row r="25" spans="1:9" x14ac:dyDescent="0.2">
      <c r="A25" s="31" t="s">
        <v>20</v>
      </c>
      <c r="B25" s="32" t="s">
        <v>21</v>
      </c>
      <c r="C25" s="31" t="s">
        <v>30</v>
      </c>
      <c r="D25" s="31">
        <v>60</v>
      </c>
      <c r="E25" s="33">
        <v>10</v>
      </c>
      <c r="F25" s="34">
        <v>0.96</v>
      </c>
      <c r="G25" s="33">
        <v>576</v>
      </c>
      <c r="H25" s="35">
        <f t="shared" si="0"/>
        <v>0.18335174399999998</v>
      </c>
      <c r="I25" s="36" t="s">
        <v>25</v>
      </c>
    </row>
    <row r="26" spans="1:9" x14ac:dyDescent="0.2">
      <c r="A26" s="6" t="s">
        <v>20</v>
      </c>
      <c r="B26" s="7" t="s">
        <v>21</v>
      </c>
      <c r="C26" s="6" t="s">
        <v>7</v>
      </c>
      <c r="D26" s="6">
        <v>60</v>
      </c>
      <c r="E26" s="8">
        <v>0</v>
      </c>
      <c r="F26" s="9">
        <v>0</v>
      </c>
      <c r="G26" s="8">
        <v>15</v>
      </c>
      <c r="H26" s="10">
        <f t="shared" si="0"/>
        <v>4.7747850000000001E-3</v>
      </c>
      <c r="I26" s="11" t="s">
        <v>11</v>
      </c>
    </row>
    <row r="27" spans="1:9" x14ac:dyDescent="0.2">
      <c r="A27" s="6" t="s">
        <v>20</v>
      </c>
      <c r="B27" s="7" t="s">
        <v>21</v>
      </c>
      <c r="C27" s="6" t="s">
        <v>7</v>
      </c>
      <c r="D27" s="6">
        <v>60</v>
      </c>
      <c r="E27" s="8">
        <v>2</v>
      </c>
      <c r="F27" s="9">
        <v>0.28000000000000003</v>
      </c>
      <c r="G27" s="8">
        <v>277</v>
      </c>
      <c r="H27" s="10">
        <f t="shared" si="0"/>
        <v>8.8174363000000019E-2</v>
      </c>
      <c r="I27" s="11" t="s">
        <v>11</v>
      </c>
    </row>
    <row r="28" spans="1:9" x14ac:dyDescent="0.2">
      <c r="A28" s="6" t="s">
        <v>20</v>
      </c>
      <c r="B28" s="7" t="s">
        <v>21</v>
      </c>
      <c r="C28" s="6" t="s">
        <v>18</v>
      </c>
      <c r="D28" s="6">
        <v>60</v>
      </c>
      <c r="E28" s="8">
        <v>4</v>
      </c>
      <c r="F28" s="9">
        <v>0.57999999999999996</v>
      </c>
      <c r="G28" s="8">
        <v>544</v>
      </c>
      <c r="H28" s="10">
        <f t="shared" si="0"/>
        <v>0.17316553600000001</v>
      </c>
      <c r="I28" s="11" t="s">
        <v>25</v>
      </c>
    </row>
    <row r="29" spans="1:9" x14ac:dyDescent="0.2">
      <c r="A29" s="6" t="s">
        <v>20</v>
      </c>
      <c r="B29" s="7" t="s">
        <v>21</v>
      </c>
      <c r="C29" s="6" t="s">
        <v>18</v>
      </c>
      <c r="D29" s="6">
        <v>60</v>
      </c>
      <c r="E29" s="8">
        <v>6</v>
      </c>
      <c r="F29" s="9">
        <v>0.81</v>
      </c>
      <c r="G29" s="8">
        <v>701</v>
      </c>
      <c r="H29" s="10">
        <f t="shared" si="0"/>
        <v>0.22314161899999999</v>
      </c>
      <c r="I29" s="11" t="s">
        <v>25</v>
      </c>
    </row>
    <row r="30" spans="1:9" x14ac:dyDescent="0.2">
      <c r="A30" s="6" t="s">
        <v>20</v>
      </c>
      <c r="B30" s="7" t="s">
        <v>21</v>
      </c>
      <c r="C30" s="6" t="s">
        <v>18</v>
      </c>
      <c r="D30" s="6">
        <v>60</v>
      </c>
      <c r="E30" s="8">
        <v>8</v>
      </c>
      <c r="F30" s="9">
        <v>0.92</v>
      </c>
      <c r="G30" s="8">
        <v>755</v>
      </c>
      <c r="H30" s="10">
        <f t="shared" si="0"/>
        <v>0.24033084500000002</v>
      </c>
      <c r="I30" s="11" t="s">
        <v>25</v>
      </c>
    </row>
    <row r="31" spans="1:9" x14ac:dyDescent="0.2">
      <c r="A31" s="6" t="s">
        <v>20</v>
      </c>
      <c r="B31" s="7" t="s">
        <v>21</v>
      </c>
      <c r="C31" s="6" t="s">
        <v>18</v>
      </c>
      <c r="D31" s="6">
        <v>60</v>
      </c>
      <c r="E31" s="8">
        <v>10</v>
      </c>
      <c r="F31" s="9">
        <v>0.98</v>
      </c>
      <c r="G31" s="8">
        <v>799</v>
      </c>
      <c r="H31" s="10">
        <f t="shared" si="0"/>
        <v>0.25433688100000001</v>
      </c>
      <c r="I31" s="11" t="s">
        <v>25</v>
      </c>
    </row>
    <row r="32" spans="1:9" x14ac:dyDescent="0.2">
      <c r="A32" s="18" t="s">
        <v>44</v>
      </c>
      <c r="B32" s="19" t="s">
        <v>26</v>
      </c>
      <c r="C32" s="18" t="s">
        <v>27</v>
      </c>
      <c r="D32" s="18">
        <v>60</v>
      </c>
      <c r="E32" s="20">
        <v>0</v>
      </c>
      <c r="F32" s="21">
        <v>0</v>
      </c>
      <c r="G32" s="18">
        <v>-33</v>
      </c>
      <c r="H32" s="22">
        <f t="shared" si="0"/>
        <v>-1.0504527000000001E-2</v>
      </c>
      <c r="I32" s="23" t="s">
        <v>28</v>
      </c>
    </row>
    <row r="33" spans="1:9" x14ac:dyDescent="0.2">
      <c r="A33" s="18" t="s">
        <v>44</v>
      </c>
      <c r="B33" s="19" t="s">
        <v>26</v>
      </c>
      <c r="C33" s="18" t="s">
        <v>27</v>
      </c>
      <c r="D33" s="18">
        <v>60</v>
      </c>
      <c r="E33" s="20">
        <v>2</v>
      </c>
      <c r="F33" s="21">
        <v>0.28000000000000003</v>
      </c>
      <c r="G33" s="20">
        <v>311</v>
      </c>
      <c r="H33" s="22">
        <f t="shared" si="0"/>
        <v>9.8997209000000003E-2</v>
      </c>
      <c r="I33" s="23" t="s">
        <v>28</v>
      </c>
    </row>
    <row r="34" spans="1:9" x14ac:dyDescent="0.2">
      <c r="A34" s="18" t="s">
        <v>44</v>
      </c>
      <c r="B34" s="19" t="s">
        <v>29</v>
      </c>
      <c r="C34" s="18" t="s">
        <v>30</v>
      </c>
      <c r="D34" s="18">
        <v>60</v>
      </c>
      <c r="E34" s="20">
        <v>4</v>
      </c>
      <c r="F34" s="21">
        <v>0.55000000000000004</v>
      </c>
      <c r="G34" s="20">
        <v>616</v>
      </c>
      <c r="H34" s="22">
        <f t="shared" ref="H34:H65" si="1">G34/1000*0.318319</f>
        <v>0.19608450400000002</v>
      </c>
      <c r="I34" s="23" t="s">
        <v>31</v>
      </c>
    </row>
    <row r="35" spans="1:9" x14ac:dyDescent="0.2">
      <c r="A35" s="18" t="s">
        <v>44</v>
      </c>
      <c r="B35" s="19" t="s">
        <v>29</v>
      </c>
      <c r="C35" s="18" t="s">
        <v>30</v>
      </c>
      <c r="D35" s="18">
        <v>60</v>
      </c>
      <c r="E35" s="20">
        <v>6</v>
      </c>
      <c r="F35" s="21">
        <v>0.78</v>
      </c>
      <c r="G35" s="20">
        <v>899</v>
      </c>
      <c r="H35" s="22">
        <f t="shared" si="1"/>
        <v>0.28616878100000004</v>
      </c>
      <c r="I35" s="23" t="s">
        <v>31</v>
      </c>
    </row>
    <row r="36" spans="1:9" x14ac:dyDescent="0.2">
      <c r="A36" s="18" t="s">
        <v>44</v>
      </c>
      <c r="B36" s="19" t="s">
        <v>26</v>
      </c>
      <c r="C36" s="18" t="s">
        <v>30</v>
      </c>
      <c r="D36" s="18">
        <v>60</v>
      </c>
      <c r="E36" s="20">
        <v>8</v>
      </c>
      <c r="F36" s="21">
        <v>0.89</v>
      </c>
      <c r="G36" s="20">
        <v>950</v>
      </c>
      <c r="H36" s="22">
        <f t="shared" si="1"/>
        <v>0.30240305000000001</v>
      </c>
      <c r="I36" s="23" t="s">
        <v>31</v>
      </c>
    </row>
    <row r="37" spans="1:9" x14ac:dyDescent="0.2">
      <c r="A37" s="18" t="s">
        <v>44</v>
      </c>
      <c r="B37" s="19" t="s">
        <v>29</v>
      </c>
      <c r="C37" s="18" t="s">
        <v>30</v>
      </c>
      <c r="D37" s="18">
        <v>60</v>
      </c>
      <c r="E37" s="20">
        <v>10</v>
      </c>
      <c r="F37" s="21">
        <v>0.96</v>
      </c>
      <c r="G37" s="20">
        <v>1100</v>
      </c>
      <c r="H37" s="22">
        <f t="shared" si="1"/>
        <v>0.35015090000000004</v>
      </c>
      <c r="I37" s="23" t="s">
        <v>31</v>
      </c>
    </row>
    <row r="38" spans="1:9" x14ac:dyDescent="0.2">
      <c r="A38" s="31" t="s">
        <v>15</v>
      </c>
      <c r="B38" s="32" t="s">
        <v>16</v>
      </c>
      <c r="C38" s="31" t="s">
        <v>30</v>
      </c>
      <c r="D38" s="31">
        <v>60</v>
      </c>
      <c r="E38" s="33">
        <v>0</v>
      </c>
      <c r="F38" s="34">
        <v>0</v>
      </c>
      <c r="G38" s="33">
        <v>57</v>
      </c>
      <c r="H38" s="35">
        <f t="shared" si="1"/>
        <v>1.8144183000000001E-2</v>
      </c>
      <c r="I38" s="36" t="s">
        <v>31</v>
      </c>
    </row>
    <row r="39" spans="1:9" x14ac:dyDescent="0.2">
      <c r="A39" s="31" t="s">
        <v>15</v>
      </c>
      <c r="B39" s="32" t="s">
        <v>16</v>
      </c>
      <c r="C39" s="31" t="s">
        <v>30</v>
      </c>
      <c r="D39" s="31">
        <v>60</v>
      </c>
      <c r="E39" s="33">
        <v>2</v>
      </c>
      <c r="F39" s="34">
        <v>0.27</v>
      </c>
      <c r="G39" s="33">
        <v>72</v>
      </c>
      <c r="H39" s="35">
        <f t="shared" si="1"/>
        <v>2.2918967999999998E-2</v>
      </c>
      <c r="I39" s="36" t="s">
        <v>31</v>
      </c>
    </row>
    <row r="40" spans="1:9" x14ac:dyDescent="0.2">
      <c r="A40" s="31" t="s">
        <v>15</v>
      </c>
      <c r="B40" s="32" t="s">
        <v>16</v>
      </c>
      <c r="C40" s="31" t="s">
        <v>30</v>
      </c>
      <c r="D40" s="31">
        <v>60</v>
      </c>
      <c r="E40" s="33">
        <v>4</v>
      </c>
      <c r="F40" s="34">
        <v>0.53</v>
      </c>
      <c r="G40" s="33">
        <v>255</v>
      </c>
      <c r="H40" s="35">
        <f t="shared" si="1"/>
        <v>8.1171345000000006E-2</v>
      </c>
      <c r="I40" s="36" t="s">
        <v>31</v>
      </c>
    </row>
    <row r="41" spans="1:9" x14ac:dyDescent="0.2">
      <c r="A41" s="31" t="s">
        <v>15</v>
      </c>
      <c r="B41" s="32" t="s">
        <v>16</v>
      </c>
      <c r="C41" s="31" t="s">
        <v>27</v>
      </c>
      <c r="D41" s="31">
        <v>60</v>
      </c>
      <c r="E41" s="33">
        <v>6</v>
      </c>
      <c r="F41" s="34">
        <v>0.75</v>
      </c>
      <c r="G41" s="33">
        <v>424</v>
      </c>
      <c r="H41" s="35">
        <f t="shared" si="1"/>
        <v>0.13496725600000001</v>
      </c>
      <c r="I41" s="36" t="s">
        <v>31</v>
      </c>
    </row>
    <row r="42" spans="1:9" x14ac:dyDescent="0.2">
      <c r="A42" s="31" t="s">
        <v>15</v>
      </c>
      <c r="B42" s="32" t="s">
        <v>16</v>
      </c>
      <c r="C42" s="31" t="s">
        <v>30</v>
      </c>
      <c r="D42" s="31">
        <v>60</v>
      </c>
      <c r="E42" s="33">
        <v>8</v>
      </c>
      <c r="F42" s="34">
        <v>0.87</v>
      </c>
      <c r="G42" s="33">
        <v>483</v>
      </c>
      <c r="H42" s="35">
        <f t="shared" si="1"/>
        <v>0.15374807700000001</v>
      </c>
      <c r="I42" s="36" t="s">
        <v>31</v>
      </c>
    </row>
    <row r="43" spans="1:9" x14ac:dyDescent="0.2">
      <c r="A43" s="31" t="s">
        <v>15</v>
      </c>
      <c r="B43" s="32" t="s">
        <v>16</v>
      </c>
      <c r="C43" s="31" t="s">
        <v>30</v>
      </c>
      <c r="D43" s="31">
        <v>60</v>
      </c>
      <c r="E43" s="33">
        <v>10</v>
      </c>
      <c r="F43" s="34">
        <v>0.93</v>
      </c>
      <c r="G43" s="33">
        <v>536</v>
      </c>
      <c r="H43" s="35">
        <f t="shared" si="1"/>
        <v>0.17061898400000003</v>
      </c>
      <c r="I43" s="36" t="s">
        <v>31</v>
      </c>
    </row>
    <row r="44" spans="1:9" x14ac:dyDescent="0.2">
      <c r="A44" s="6" t="s">
        <v>45</v>
      </c>
      <c r="B44" s="7" t="s">
        <v>35</v>
      </c>
      <c r="C44" s="8" t="s">
        <v>30</v>
      </c>
      <c r="D44" s="6">
        <v>60</v>
      </c>
      <c r="E44" s="8">
        <v>0</v>
      </c>
      <c r="F44" s="9">
        <v>0</v>
      </c>
      <c r="G44" s="8">
        <v>46</v>
      </c>
      <c r="H44" s="10">
        <f t="shared" si="1"/>
        <v>1.4642674000000001E-2</v>
      </c>
      <c r="I44" s="11" t="s">
        <v>36</v>
      </c>
    </row>
    <row r="45" spans="1:9" x14ac:dyDescent="0.2">
      <c r="A45" s="6" t="s">
        <v>45</v>
      </c>
      <c r="B45" s="7" t="s">
        <v>35</v>
      </c>
      <c r="C45" s="8" t="s">
        <v>30</v>
      </c>
      <c r="D45" s="6">
        <v>60</v>
      </c>
      <c r="E45" s="8">
        <v>2</v>
      </c>
      <c r="F45" s="9">
        <v>0.27</v>
      </c>
      <c r="G45" s="8">
        <v>326</v>
      </c>
      <c r="H45" s="10">
        <f t="shared" si="1"/>
        <v>0.10377199400000001</v>
      </c>
      <c r="I45" s="11" t="s">
        <v>36</v>
      </c>
    </row>
    <row r="46" spans="1:9" x14ac:dyDescent="0.2">
      <c r="A46" s="6" t="s">
        <v>45</v>
      </c>
      <c r="B46" s="7" t="s">
        <v>37</v>
      </c>
      <c r="C46" s="8" t="s">
        <v>30</v>
      </c>
      <c r="D46" s="6">
        <v>60</v>
      </c>
      <c r="E46" s="8">
        <v>4</v>
      </c>
      <c r="F46" s="9">
        <v>0.52</v>
      </c>
      <c r="G46" s="8">
        <v>464</v>
      </c>
      <c r="H46" s="10">
        <f t="shared" si="1"/>
        <v>0.14770001600000002</v>
      </c>
      <c r="I46" s="11" t="s">
        <v>36</v>
      </c>
    </row>
    <row r="47" spans="1:9" x14ac:dyDescent="0.2">
      <c r="A47" s="6" t="s">
        <v>45</v>
      </c>
      <c r="B47" s="7" t="s">
        <v>37</v>
      </c>
      <c r="C47" s="8" t="s">
        <v>30</v>
      </c>
      <c r="D47" s="6">
        <v>60</v>
      </c>
      <c r="E47" s="8">
        <v>6</v>
      </c>
      <c r="F47" s="9">
        <v>0.74</v>
      </c>
      <c r="G47" s="8">
        <v>578</v>
      </c>
      <c r="H47" s="10">
        <f t="shared" si="1"/>
        <v>0.18398838200000001</v>
      </c>
      <c r="I47" s="11" t="s">
        <v>36</v>
      </c>
    </row>
    <row r="48" spans="1:9" x14ac:dyDescent="0.2">
      <c r="A48" s="6" t="s">
        <v>45</v>
      </c>
      <c r="B48" s="7" t="s">
        <v>37</v>
      </c>
      <c r="C48" s="8" t="s">
        <v>30</v>
      </c>
      <c r="D48" s="6">
        <v>60</v>
      </c>
      <c r="E48" s="8">
        <v>8</v>
      </c>
      <c r="F48" s="9">
        <v>0.85</v>
      </c>
      <c r="G48" s="8">
        <v>635</v>
      </c>
      <c r="H48" s="10">
        <f t="shared" si="1"/>
        <v>0.20213256500000001</v>
      </c>
      <c r="I48" s="11" t="s">
        <v>36</v>
      </c>
    </row>
    <row r="49" spans="1:9" x14ac:dyDescent="0.2">
      <c r="A49" s="6" t="s">
        <v>45</v>
      </c>
      <c r="B49" s="7" t="s">
        <v>37</v>
      </c>
      <c r="C49" s="8" t="s">
        <v>30</v>
      </c>
      <c r="D49" s="6">
        <v>60</v>
      </c>
      <c r="E49" s="8">
        <v>10</v>
      </c>
      <c r="F49" s="9">
        <v>0.91</v>
      </c>
      <c r="G49" s="8">
        <v>678</v>
      </c>
      <c r="H49" s="10">
        <f t="shared" si="1"/>
        <v>0.21582028200000003</v>
      </c>
      <c r="I49" s="11" t="s">
        <v>36</v>
      </c>
    </row>
    <row r="50" spans="1:9" x14ac:dyDescent="0.2">
      <c r="A50" s="12" t="s">
        <v>46</v>
      </c>
      <c r="B50" s="13" t="s">
        <v>38</v>
      </c>
      <c r="C50" s="14" t="s">
        <v>27</v>
      </c>
      <c r="D50" s="12">
        <v>60</v>
      </c>
      <c r="E50" s="14">
        <v>0</v>
      </c>
      <c r="F50" s="15">
        <v>0</v>
      </c>
      <c r="G50" s="14">
        <v>54</v>
      </c>
      <c r="H50" s="16">
        <f t="shared" si="1"/>
        <v>1.7189226000000002E-2</v>
      </c>
      <c r="I50" s="17" t="s">
        <v>36</v>
      </c>
    </row>
    <row r="51" spans="1:9" x14ac:dyDescent="0.2">
      <c r="A51" s="12" t="s">
        <v>46</v>
      </c>
      <c r="B51" s="13" t="s">
        <v>38</v>
      </c>
      <c r="C51" s="14" t="s">
        <v>30</v>
      </c>
      <c r="D51" s="12">
        <v>60</v>
      </c>
      <c r="E51" s="14">
        <v>2</v>
      </c>
      <c r="F51" s="15">
        <v>0.26</v>
      </c>
      <c r="G51" s="14">
        <v>85</v>
      </c>
      <c r="H51" s="16">
        <f t="shared" si="1"/>
        <v>2.7057115000000003E-2</v>
      </c>
      <c r="I51" s="17" t="s">
        <v>36</v>
      </c>
    </row>
    <row r="52" spans="1:9" x14ac:dyDescent="0.2">
      <c r="A52" s="12" t="s">
        <v>46</v>
      </c>
      <c r="B52" s="13" t="s">
        <v>39</v>
      </c>
      <c r="C52" s="14" t="s">
        <v>30</v>
      </c>
      <c r="D52" s="12">
        <v>60</v>
      </c>
      <c r="E52" s="14">
        <v>4</v>
      </c>
      <c r="F52" s="15">
        <v>0.51</v>
      </c>
      <c r="G52" s="14">
        <v>468</v>
      </c>
      <c r="H52" s="16">
        <f t="shared" si="1"/>
        <v>0.14897329200000001</v>
      </c>
      <c r="I52" s="17" t="s">
        <v>36</v>
      </c>
    </row>
    <row r="53" spans="1:9" x14ac:dyDescent="0.2">
      <c r="A53" s="12" t="s">
        <v>46</v>
      </c>
      <c r="B53" s="13" t="s">
        <v>39</v>
      </c>
      <c r="C53" s="14" t="s">
        <v>30</v>
      </c>
      <c r="D53" s="12">
        <v>60</v>
      </c>
      <c r="E53" s="14">
        <v>6</v>
      </c>
      <c r="F53" s="15">
        <v>0.73</v>
      </c>
      <c r="G53" s="14">
        <v>636</v>
      </c>
      <c r="H53" s="16">
        <f t="shared" si="1"/>
        <v>0.20245088400000003</v>
      </c>
      <c r="I53" s="17" t="s">
        <v>36</v>
      </c>
    </row>
    <row r="54" spans="1:9" x14ac:dyDescent="0.2">
      <c r="A54" s="12" t="s">
        <v>46</v>
      </c>
      <c r="B54" s="13" t="s">
        <v>39</v>
      </c>
      <c r="C54" s="14" t="s">
        <v>30</v>
      </c>
      <c r="D54" s="12">
        <v>60</v>
      </c>
      <c r="E54" s="14">
        <v>8</v>
      </c>
      <c r="F54" s="15">
        <v>0.84</v>
      </c>
      <c r="G54" s="14">
        <v>685</v>
      </c>
      <c r="H54" s="16">
        <f t="shared" si="1"/>
        <v>0.21804851500000003</v>
      </c>
      <c r="I54" s="17" t="s">
        <v>36</v>
      </c>
    </row>
    <row r="55" spans="1:9" x14ac:dyDescent="0.2">
      <c r="A55" s="12" t="s">
        <v>46</v>
      </c>
      <c r="B55" s="13" t="s">
        <v>39</v>
      </c>
      <c r="C55" s="14" t="s">
        <v>30</v>
      </c>
      <c r="D55" s="12">
        <v>60</v>
      </c>
      <c r="E55" s="14">
        <v>10</v>
      </c>
      <c r="F55" s="15">
        <v>0.92</v>
      </c>
      <c r="G55" s="14">
        <v>708</v>
      </c>
      <c r="H55" s="16">
        <f t="shared" si="1"/>
        <v>0.22536985200000001</v>
      </c>
      <c r="I55" s="17" t="s">
        <v>36</v>
      </c>
    </row>
    <row r="56" spans="1:9" x14ac:dyDescent="0.2">
      <c r="A56" s="6" t="s">
        <v>20</v>
      </c>
      <c r="B56" s="7" t="s">
        <v>21</v>
      </c>
      <c r="C56" s="6" t="s">
        <v>32</v>
      </c>
      <c r="D56" s="6">
        <v>60</v>
      </c>
      <c r="E56" s="8">
        <v>0</v>
      </c>
      <c r="F56" s="9">
        <v>0</v>
      </c>
      <c r="G56" s="8">
        <v>59</v>
      </c>
      <c r="H56" s="10">
        <f t="shared" si="1"/>
        <v>1.8780821E-2</v>
      </c>
      <c r="I56" s="11" t="s">
        <v>34</v>
      </c>
    </row>
    <row r="57" spans="1:9" x14ac:dyDescent="0.2">
      <c r="A57" s="6" t="s">
        <v>20</v>
      </c>
      <c r="B57" s="7" t="s">
        <v>21</v>
      </c>
      <c r="C57" s="6" t="s">
        <v>32</v>
      </c>
      <c r="D57" s="6">
        <v>60</v>
      </c>
      <c r="E57" s="8">
        <v>2</v>
      </c>
      <c r="F57" s="9">
        <v>0.28000000000000003</v>
      </c>
      <c r="G57" s="8">
        <v>106</v>
      </c>
      <c r="H57" s="10">
        <f t="shared" si="1"/>
        <v>3.3741814000000002E-2</v>
      </c>
      <c r="I57" s="11" t="s">
        <v>34</v>
      </c>
    </row>
    <row r="58" spans="1:9" x14ac:dyDescent="0.2">
      <c r="A58" s="6" t="s">
        <v>20</v>
      </c>
      <c r="B58" s="7" t="s">
        <v>21</v>
      </c>
      <c r="C58" s="6" t="s">
        <v>32</v>
      </c>
      <c r="D58" s="6">
        <v>60</v>
      </c>
      <c r="E58" s="8">
        <v>4</v>
      </c>
      <c r="F58" s="9">
        <v>0.55000000000000004</v>
      </c>
      <c r="G58" s="8">
        <v>305</v>
      </c>
      <c r="H58" s="10">
        <f t="shared" si="1"/>
        <v>9.7087295000000004E-2</v>
      </c>
      <c r="I58" s="11" t="s">
        <v>34</v>
      </c>
    </row>
    <row r="59" spans="1:9" x14ac:dyDescent="0.2">
      <c r="A59" s="6" t="s">
        <v>20</v>
      </c>
      <c r="B59" s="7" t="s">
        <v>21</v>
      </c>
      <c r="C59" s="6" t="s">
        <v>32</v>
      </c>
      <c r="D59" s="6">
        <v>60</v>
      </c>
      <c r="E59" s="8">
        <v>6</v>
      </c>
      <c r="F59" s="9">
        <v>0.78</v>
      </c>
      <c r="G59" s="8">
        <v>425</v>
      </c>
      <c r="H59" s="10">
        <f t="shared" si="1"/>
        <v>0.13528557499999999</v>
      </c>
      <c r="I59" s="11" t="s">
        <v>34</v>
      </c>
    </row>
    <row r="60" spans="1:9" x14ac:dyDescent="0.2">
      <c r="A60" s="6" t="s">
        <v>20</v>
      </c>
      <c r="B60" s="7" t="s">
        <v>21</v>
      </c>
      <c r="C60" s="6" t="s">
        <v>32</v>
      </c>
      <c r="D60" s="6">
        <v>60</v>
      </c>
      <c r="E60" s="8">
        <v>8</v>
      </c>
      <c r="F60" s="9">
        <v>0.89</v>
      </c>
      <c r="G60" s="8">
        <v>466</v>
      </c>
      <c r="H60" s="10">
        <f t="shared" si="1"/>
        <v>0.14833665400000001</v>
      </c>
      <c r="I60" s="11" t="s">
        <v>34</v>
      </c>
    </row>
    <row r="61" spans="1:9" x14ac:dyDescent="0.2">
      <c r="A61" s="6" t="s">
        <v>20</v>
      </c>
      <c r="B61" s="7" t="s">
        <v>21</v>
      </c>
      <c r="C61" s="6" t="s">
        <v>32</v>
      </c>
      <c r="D61" s="6">
        <v>60</v>
      </c>
      <c r="E61" s="8">
        <v>10</v>
      </c>
      <c r="F61" s="9">
        <v>0.96</v>
      </c>
      <c r="G61" s="8">
        <v>486</v>
      </c>
      <c r="H61" s="10">
        <f t="shared" si="1"/>
        <v>0.15470303400000002</v>
      </c>
      <c r="I61" s="11" t="s">
        <v>34</v>
      </c>
    </row>
    <row r="62" spans="1:9" x14ac:dyDescent="0.2">
      <c r="A62" s="12" t="s">
        <v>43</v>
      </c>
      <c r="B62" s="13" t="s">
        <v>40</v>
      </c>
      <c r="C62" s="12" t="s">
        <v>32</v>
      </c>
      <c r="D62" s="12">
        <v>60</v>
      </c>
      <c r="E62" s="14">
        <v>0</v>
      </c>
      <c r="F62" s="15">
        <v>0</v>
      </c>
      <c r="G62" s="14">
        <v>-23</v>
      </c>
      <c r="H62" s="16">
        <f t="shared" si="1"/>
        <v>-7.3213370000000007E-3</v>
      </c>
      <c r="I62" s="17" t="s">
        <v>34</v>
      </c>
    </row>
    <row r="63" spans="1:9" x14ac:dyDescent="0.2">
      <c r="A63" s="12" t="s">
        <v>43</v>
      </c>
      <c r="B63" s="13" t="s">
        <v>40</v>
      </c>
      <c r="C63" s="12" t="s">
        <v>32</v>
      </c>
      <c r="D63" s="12">
        <v>60</v>
      </c>
      <c r="E63" s="14">
        <v>2</v>
      </c>
      <c r="F63" s="15">
        <v>0.27</v>
      </c>
      <c r="G63" s="14">
        <v>83</v>
      </c>
      <c r="H63" s="16">
        <f t="shared" si="1"/>
        <v>2.6420477000000001E-2</v>
      </c>
      <c r="I63" s="17" t="s">
        <v>34</v>
      </c>
    </row>
    <row r="64" spans="1:9" x14ac:dyDescent="0.2">
      <c r="A64" s="12" t="s">
        <v>43</v>
      </c>
      <c r="B64" s="13" t="s">
        <v>41</v>
      </c>
      <c r="C64" s="12" t="s">
        <v>32</v>
      </c>
      <c r="D64" s="12">
        <v>60</v>
      </c>
      <c r="E64" s="14">
        <v>4</v>
      </c>
      <c r="F64" s="15">
        <v>0.52</v>
      </c>
      <c r="G64" s="14">
        <v>342</v>
      </c>
      <c r="H64" s="16">
        <f t="shared" si="1"/>
        <v>0.10886509800000002</v>
      </c>
      <c r="I64" s="17" t="s">
        <v>42</v>
      </c>
    </row>
    <row r="65" spans="1:9" x14ac:dyDescent="0.2">
      <c r="A65" s="12" t="s">
        <v>43</v>
      </c>
      <c r="B65" s="13" t="s">
        <v>41</v>
      </c>
      <c r="C65" s="12" t="s">
        <v>32</v>
      </c>
      <c r="D65" s="12">
        <v>60</v>
      </c>
      <c r="E65" s="14">
        <v>6</v>
      </c>
      <c r="F65" s="15">
        <v>0.75</v>
      </c>
      <c r="G65" s="14">
        <v>546</v>
      </c>
      <c r="H65" s="16">
        <f t="shared" si="1"/>
        <v>0.17380217400000003</v>
      </c>
      <c r="I65" s="17" t="s">
        <v>42</v>
      </c>
    </row>
    <row r="66" spans="1:9" x14ac:dyDescent="0.2">
      <c r="A66" s="12" t="s">
        <v>43</v>
      </c>
      <c r="B66" s="13" t="s">
        <v>40</v>
      </c>
      <c r="C66" s="12" t="s">
        <v>32</v>
      </c>
      <c r="D66" s="12">
        <v>60</v>
      </c>
      <c r="E66" s="14">
        <v>8</v>
      </c>
      <c r="F66" s="15">
        <v>0.87</v>
      </c>
      <c r="G66" s="14">
        <v>657</v>
      </c>
      <c r="H66" s="16">
        <f t="shared" ref="H66:H105" si="2">G66/1000*0.318319</f>
        <v>0.20913558300000001</v>
      </c>
      <c r="I66" s="17" t="s">
        <v>42</v>
      </c>
    </row>
    <row r="67" spans="1:9" x14ac:dyDescent="0.2">
      <c r="A67" s="12" t="s">
        <v>43</v>
      </c>
      <c r="B67" s="13" t="s">
        <v>41</v>
      </c>
      <c r="C67" s="12" t="s">
        <v>32</v>
      </c>
      <c r="D67" s="12">
        <v>60</v>
      </c>
      <c r="E67" s="14">
        <v>10</v>
      </c>
      <c r="F67" s="15">
        <v>0.97</v>
      </c>
      <c r="G67" s="14">
        <v>763</v>
      </c>
      <c r="H67" s="16">
        <f t="shared" si="2"/>
        <v>0.24287739700000002</v>
      </c>
      <c r="I67" s="17" t="s">
        <v>42</v>
      </c>
    </row>
    <row r="68" spans="1:9" x14ac:dyDescent="0.2">
      <c r="A68" s="31" t="s">
        <v>43</v>
      </c>
      <c r="B68" s="32" t="s">
        <v>40</v>
      </c>
      <c r="C68" s="31" t="s">
        <v>30</v>
      </c>
      <c r="D68" s="31">
        <v>60</v>
      </c>
      <c r="E68" s="33">
        <v>0</v>
      </c>
      <c r="F68" s="34">
        <v>0</v>
      </c>
      <c r="G68" s="33">
        <v>17</v>
      </c>
      <c r="H68" s="35">
        <f t="shared" si="2"/>
        <v>5.4114230000000003E-3</v>
      </c>
      <c r="I68" s="36" t="s">
        <v>34</v>
      </c>
    </row>
    <row r="69" spans="1:9" x14ac:dyDescent="0.2">
      <c r="A69" s="31" t="s">
        <v>43</v>
      </c>
      <c r="B69" s="32" t="s">
        <v>40</v>
      </c>
      <c r="C69" s="31" t="s">
        <v>30</v>
      </c>
      <c r="D69" s="31">
        <v>60</v>
      </c>
      <c r="E69" s="33">
        <v>1</v>
      </c>
      <c r="F69" s="34">
        <v>0.15</v>
      </c>
      <c r="G69" s="33">
        <v>264</v>
      </c>
      <c r="H69" s="35">
        <f t="shared" si="2"/>
        <v>8.4036216000000011E-2</v>
      </c>
      <c r="I69" s="36" t="s">
        <v>34</v>
      </c>
    </row>
    <row r="70" spans="1:9" x14ac:dyDescent="0.2">
      <c r="A70" s="31" t="s">
        <v>43</v>
      </c>
      <c r="B70" s="32" t="s">
        <v>41</v>
      </c>
      <c r="C70" s="31" t="s">
        <v>30</v>
      </c>
      <c r="D70" s="31">
        <v>60</v>
      </c>
      <c r="E70" s="33">
        <v>2</v>
      </c>
      <c r="F70" s="34">
        <v>0.28999999999999998</v>
      </c>
      <c r="G70" s="33">
        <v>380</v>
      </c>
      <c r="H70" s="35">
        <f t="shared" si="2"/>
        <v>0.12096122000000001</v>
      </c>
      <c r="I70" s="36" t="s">
        <v>42</v>
      </c>
    </row>
    <row r="71" spans="1:9" x14ac:dyDescent="0.2">
      <c r="A71" s="31" t="s">
        <v>43</v>
      </c>
      <c r="B71" s="32" t="s">
        <v>41</v>
      </c>
      <c r="C71" s="31" t="s">
        <v>30</v>
      </c>
      <c r="D71" s="31">
        <v>60</v>
      </c>
      <c r="E71" s="33">
        <v>3</v>
      </c>
      <c r="F71" s="34">
        <v>0.43</v>
      </c>
      <c r="G71" s="33">
        <v>519</v>
      </c>
      <c r="H71" s="35">
        <f t="shared" si="2"/>
        <v>0.165207561</v>
      </c>
      <c r="I71" s="36" t="s">
        <v>42</v>
      </c>
    </row>
    <row r="72" spans="1:9" x14ac:dyDescent="0.2">
      <c r="A72" s="31" t="s">
        <v>43</v>
      </c>
      <c r="B72" s="32" t="s">
        <v>40</v>
      </c>
      <c r="C72" s="31" t="s">
        <v>30</v>
      </c>
      <c r="D72" s="31">
        <v>60</v>
      </c>
      <c r="E72" s="33">
        <v>4</v>
      </c>
      <c r="F72" s="34">
        <v>0.56999999999999995</v>
      </c>
      <c r="G72" s="33">
        <v>767</v>
      </c>
      <c r="H72" s="35">
        <f t="shared" ref="H72:H74" si="3">G72/1000*0.318319</f>
        <v>0.24415067300000001</v>
      </c>
      <c r="I72" s="36" t="s">
        <v>42</v>
      </c>
    </row>
    <row r="73" spans="1:9" x14ac:dyDescent="0.2">
      <c r="A73" s="31" t="s">
        <v>43</v>
      </c>
      <c r="B73" s="32" t="s">
        <v>40</v>
      </c>
      <c r="C73" s="31" t="s">
        <v>30</v>
      </c>
      <c r="D73" s="31">
        <v>60</v>
      </c>
      <c r="E73" s="33">
        <v>5</v>
      </c>
      <c r="F73" s="34">
        <v>0.7</v>
      </c>
      <c r="G73" s="33">
        <v>1095</v>
      </c>
      <c r="H73" s="35">
        <f t="shared" si="3"/>
        <v>0.34855930499999999</v>
      </c>
      <c r="I73" s="36" t="s">
        <v>42</v>
      </c>
    </row>
    <row r="74" spans="1:9" x14ac:dyDescent="0.2">
      <c r="A74" s="31" t="s">
        <v>43</v>
      </c>
      <c r="B74" s="32" t="s">
        <v>41</v>
      </c>
      <c r="C74" s="31" t="s">
        <v>30</v>
      </c>
      <c r="D74" s="31">
        <v>60</v>
      </c>
      <c r="E74" s="33">
        <v>7</v>
      </c>
      <c r="F74" s="34">
        <v>0.86</v>
      </c>
      <c r="G74" s="33">
        <v>1447</v>
      </c>
      <c r="H74" s="35">
        <f t="shared" si="3"/>
        <v>0.46060759300000004</v>
      </c>
      <c r="I74" s="36" t="s">
        <v>42</v>
      </c>
    </row>
    <row r="75" spans="1:9" x14ac:dyDescent="0.2">
      <c r="A75" s="31" t="s">
        <v>43</v>
      </c>
      <c r="B75" s="32" t="s">
        <v>41</v>
      </c>
      <c r="C75" s="31" t="s">
        <v>30</v>
      </c>
      <c r="D75" s="31">
        <v>60</v>
      </c>
      <c r="E75" s="33">
        <v>10</v>
      </c>
      <c r="F75" s="34">
        <v>0.97</v>
      </c>
      <c r="G75" s="33">
        <v>1644</v>
      </c>
      <c r="H75" s="35">
        <f t="shared" si="2"/>
        <v>0.523316436</v>
      </c>
      <c r="I75" s="36" t="s">
        <v>42</v>
      </c>
    </row>
    <row r="76" spans="1:9" x14ac:dyDescent="0.2">
      <c r="A76" s="20" t="s">
        <v>68</v>
      </c>
      <c r="B76" s="19" t="s">
        <v>47</v>
      </c>
      <c r="C76" s="20" t="s">
        <v>30</v>
      </c>
      <c r="D76" s="18">
        <v>60</v>
      </c>
      <c r="E76" s="20">
        <v>0</v>
      </c>
      <c r="F76" s="21">
        <v>0</v>
      </c>
      <c r="G76" s="20">
        <v>8</v>
      </c>
      <c r="H76" s="22">
        <f t="shared" si="2"/>
        <v>2.5465520000000001E-3</v>
      </c>
      <c r="I76" s="23" t="s">
        <v>149</v>
      </c>
    </row>
    <row r="77" spans="1:9" x14ac:dyDescent="0.2">
      <c r="A77" s="20" t="s">
        <v>68</v>
      </c>
      <c r="B77" s="19" t="s">
        <v>47</v>
      </c>
      <c r="C77" s="20" t="s">
        <v>30</v>
      </c>
      <c r="D77" s="18">
        <v>60</v>
      </c>
      <c r="E77" s="20">
        <v>1</v>
      </c>
      <c r="F77" s="21">
        <v>0.15</v>
      </c>
      <c r="G77" s="20">
        <v>15</v>
      </c>
      <c r="H77" s="22">
        <f t="shared" si="2"/>
        <v>4.7747850000000001E-3</v>
      </c>
      <c r="I77" s="23" t="s">
        <v>48</v>
      </c>
    </row>
    <row r="78" spans="1:9" x14ac:dyDescent="0.2">
      <c r="A78" s="20" t="s">
        <v>68</v>
      </c>
      <c r="B78" s="19" t="s">
        <v>47</v>
      </c>
      <c r="C78" s="20" t="s">
        <v>30</v>
      </c>
      <c r="D78" s="18">
        <v>60</v>
      </c>
      <c r="E78" s="20">
        <v>2</v>
      </c>
      <c r="F78" s="21">
        <v>0.28999999999999998</v>
      </c>
      <c r="G78" s="20">
        <v>88</v>
      </c>
      <c r="H78" s="22">
        <f t="shared" si="2"/>
        <v>2.8012071999999999E-2</v>
      </c>
      <c r="I78" s="23" t="s">
        <v>48</v>
      </c>
    </row>
    <row r="79" spans="1:9" x14ac:dyDescent="0.2">
      <c r="A79" s="20" t="s">
        <v>68</v>
      </c>
      <c r="B79" s="19" t="s">
        <v>49</v>
      </c>
      <c r="C79" s="20" t="s">
        <v>30</v>
      </c>
      <c r="D79" s="18">
        <v>60</v>
      </c>
      <c r="E79" s="20">
        <v>3</v>
      </c>
      <c r="F79" s="21">
        <v>0.43</v>
      </c>
      <c r="G79" s="20">
        <v>166</v>
      </c>
      <c r="H79" s="22">
        <f t="shared" si="2"/>
        <v>5.2840954000000002E-2</v>
      </c>
      <c r="I79" s="23" t="s">
        <v>48</v>
      </c>
    </row>
    <row r="80" spans="1:9" x14ac:dyDescent="0.2">
      <c r="A80" s="20" t="s">
        <v>68</v>
      </c>
      <c r="B80" s="19" t="s">
        <v>47</v>
      </c>
      <c r="C80" s="20" t="s">
        <v>30</v>
      </c>
      <c r="D80" s="18">
        <v>60</v>
      </c>
      <c r="E80" s="20">
        <v>4</v>
      </c>
      <c r="F80" s="21">
        <v>0.56999999999999995</v>
      </c>
      <c r="G80" s="20">
        <v>258</v>
      </c>
      <c r="H80" s="22">
        <f t="shared" si="2"/>
        <v>8.2126302000000012E-2</v>
      </c>
      <c r="I80" s="23" t="s">
        <v>48</v>
      </c>
    </row>
    <row r="81" spans="1:9" x14ac:dyDescent="0.2">
      <c r="A81" s="20" t="s">
        <v>68</v>
      </c>
      <c r="B81" s="19" t="s">
        <v>47</v>
      </c>
      <c r="C81" s="20" t="s">
        <v>30</v>
      </c>
      <c r="D81" s="18">
        <v>60</v>
      </c>
      <c r="E81" s="20">
        <v>5</v>
      </c>
      <c r="F81" s="21">
        <v>0.7</v>
      </c>
      <c r="G81" s="20">
        <v>367</v>
      </c>
      <c r="H81" s="22">
        <f t="shared" si="2"/>
        <v>0.116823073</v>
      </c>
      <c r="I81" s="23" t="s">
        <v>48</v>
      </c>
    </row>
    <row r="82" spans="1:9" x14ac:dyDescent="0.2">
      <c r="A82" s="20" t="s">
        <v>68</v>
      </c>
      <c r="B82" s="19" t="s">
        <v>47</v>
      </c>
      <c r="C82" s="20" t="s">
        <v>30</v>
      </c>
      <c r="D82" s="18">
        <v>60</v>
      </c>
      <c r="E82" s="20">
        <v>7</v>
      </c>
      <c r="F82" s="21">
        <v>0.86</v>
      </c>
      <c r="G82" s="20">
        <v>456</v>
      </c>
      <c r="H82" s="22">
        <f t="shared" si="2"/>
        <v>0.14515346400000001</v>
      </c>
      <c r="I82" s="23" t="s">
        <v>48</v>
      </c>
    </row>
    <row r="83" spans="1:9" x14ac:dyDescent="0.2">
      <c r="A83" s="20" t="s">
        <v>68</v>
      </c>
      <c r="B83" s="19" t="s">
        <v>47</v>
      </c>
      <c r="C83" s="20" t="s">
        <v>30</v>
      </c>
      <c r="D83" s="18">
        <v>60</v>
      </c>
      <c r="E83" s="20">
        <v>10</v>
      </c>
      <c r="F83" s="21">
        <v>0.97</v>
      </c>
      <c r="G83" s="20">
        <v>467</v>
      </c>
      <c r="H83" s="22">
        <f t="shared" si="2"/>
        <v>0.14865497300000002</v>
      </c>
      <c r="I83" s="23" t="s">
        <v>48</v>
      </c>
    </row>
    <row r="84" spans="1:9" x14ac:dyDescent="0.2">
      <c r="A84" s="8" t="s">
        <v>67</v>
      </c>
      <c r="B84" s="7" t="s">
        <v>50</v>
      </c>
      <c r="C84" s="8" t="s">
        <v>30</v>
      </c>
      <c r="D84" s="6">
        <v>60</v>
      </c>
      <c r="E84" s="8">
        <v>0</v>
      </c>
      <c r="F84" s="9">
        <v>0</v>
      </c>
      <c r="G84" s="8">
        <v>25</v>
      </c>
      <c r="H84" s="10">
        <f t="shared" si="2"/>
        <v>7.9579750000000008E-3</v>
      </c>
      <c r="I84" s="11" t="s">
        <v>51</v>
      </c>
    </row>
    <row r="85" spans="1:9" x14ac:dyDescent="0.2">
      <c r="A85" s="8" t="s">
        <v>67</v>
      </c>
      <c r="B85" s="7" t="s">
        <v>50</v>
      </c>
      <c r="C85" s="8" t="s">
        <v>30</v>
      </c>
      <c r="D85" s="6">
        <v>60</v>
      </c>
      <c r="E85" s="8">
        <v>1</v>
      </c>
      <c r="F85" s="9">
        <v>0.14000000000000001</v>
      </c>
      <c r="G85" s="8">
        <v>35</v>
      </c>
      <c r="H85" s="10">
        <f t="shared" si="2"/>
        <v>1.1141165000000001E-2</v>
      </c>
      <c r="I85" s="11" t="s">
        <v>51</v>
      </c>
    </row>
    <row r="86" spans="1:9" x14ac:dyDescent="0.2">
      <c r="A86" s="8" t="s">
        <v>67</v>
      </c>
      <c r="B86" s="7" t="s">
        <v>50</v>
      </c>
      <c r="C86" s="8" t="s">
        <v>30</v>
      </c>
      <c r="D86" s="6">
        <v>60</v>
      </c>
      <c r="E86" s="8">
        <v>2</v>
      </c>
      <c r="F86" s="9">
        <v>0.28000000000000003</v>
      </c>
      <c r="G86" s="8">
        <v>84</v>
      </c>
      <c r="H86" s="10">
        <f t="shared" si="2"/>
        <v>2.6738796000000002E-2</v>
      </c>
      <c r="I86" s="11" t="s">
        <v>51</v>
      </c>
    </row>
    <row r="87" spans="1:9" x14ac:dyDescent="0.2">
      <c r="A87" s="8" t="s">
        <v>67</v>
      </c>
      <c r="B87" s="7" t="s">
        <v>50</v>
      </c>
      <c r="C87" s="8" t="s">
        <v>30</v>
      </c>
      <c r="D87" s="6">
        <v>60</v>
      </c>
      <c r="E87" s="8">
        <v>3</v>
      </c>
      <c r="F87" s="9">
        <v>0.42</v>
      </c>
      <c r="G87" s="8">
        <v>165</v>
      </c>
      <c r="H87" s="10">
        <f t="shared" si="2"/>
        <v>5.2522635000000005E-2</v>
      </c>
      <c r="I87" s="11" t="s">
        <v>51</v>
      </c>
    </row>
    <row r="88" spans="1:9" x14ac:dyDescent="0.2">
      <c r="A88" s="8" t="s">
        <v>67</v>
      </c>
      <c r="B88" s="7" t="s">
        <v>50</v>
      </c>
      <c r="C88" s="8" t="s">
        <v>30</v>
      </c>
      <c r="D88" s="6">
        <v>60</v>
      </c>
      <c r="E88" s="8">
        <v>4</v>
      </c>
      <c r="F88" s="9">
        <v>0.55000000000000004</v>
      </c>
      <c r="G88" s="8">
        <v>254</v>
      </c>
      <c r="H88" s="10">
        <f t="shared" si="2"/>
        <v>8.0853026000000008E-2</v>
      </c>
      <c r="I88" s="11" t="s">
        <v>51</v>
      </c>
    </row>
    <row r="89" spans="1:9" x14ac:dyDescent="0.2">
      <c r="A89" s="8" t="s">
        <v>67</v>
      </c>
      <c r="B89" s="7" t="s">
        <v>50</v>
      </c>
      <c r="C89" s="8" t="s">
        <v>30</v>
      </c>
      <c r="D89" s="6">
        <v>60</v>
      </c>
      <c r="E89" s="8">
        <v>5</v>
      </c>
      <c r="F89" s="9">
        <v>0.68</v>
      </c>
      <c r="G89" s="8">
        <v>354</v>
      </c>
      <c r="H89" s="10">
        <f t="shared" si="2"/>
        <v>0.112684926</v>
      </c>
      <c r="I89" s="11" t="s">
        <v>51</v>
      </c>
    </row>
    <row r="90" spans="1:9" x14ac:dyDescent="0.2">
      <c r="A90" s="8" t="s">
        <v>67</v>
      </c>
      <c r="B90" s="7" t="s">
        <v>50</v>
      </c>
      <c r="C90" s="8" t="s">
        <v>30</v>
      </c>
      <c r="D90" s="6">
        <v>60</v>
      </c>
      <c r="E90" s="8">
        <v>7</v>
      </c>
      <c r="F90" s="9">
        <v>0.83</v>
      </c>
      <c r="G90" s="8">
        <v>464</v>
      </c>
      <c r="H90" s="10">
        <f t="shared" si="2"/>
        <v>0.14770001600000002</v>
      </c>
      <c r="I90" s="11" t="s">
        <v>51</v>
      </c>
    </row>
    <row r="91" spans="1:9" x14ac:dyDescent="0.2">
      <c r="A91" s="8" t="s">
        <v>67</v>
      </c>
      <c r="B91" s="7" t="s">
        <v>50</v>
      </c>
      <c r="C91" s="8" t="s">
        <v>30</v>
      </c>
      <c r="D91" s="6">
        <v>60</v>
      </c>
      <c r="E91" s="8">
        <v>10</v>
      </c>
      <c r="F91" s="9">
        <v>0.94</v>
      </c>
      <c r="G91" s="8">
        <v>536</v>
      </c>
      <c r="H91" s="10">
        <f t="shared" si="2"/>
        <v>0.17061898400000003</v>
      </c>
      <c r="I91" s="11" t="s">
        <v>51</v>
      </c>
    </row>
    <row r="92" spans="1:9" x14ac:dyDescent="0.2">
      <c r="A92" s="25" t="s">
        <v>66</v>
      </c>
      <c r="B92" s="30" t="s">
        <v>52</v>
      </c>
      <c r="C92" s="25" t="s">
        <v>30</v>
      </c>
      <c r="D92" s="26">
        <v>60</v>
      </c>
      <c r="E92" s="25">
        <v>0</v>
      </c>
      <c r="F92" s="27">
        <v>0</v>
      </c>
      <c r="G92" s="25">
        <v>10</v>
      </c>
      <c r="H92" s="28">
        <f t="shared" si="2"/>
        <v>3.1831900000000002E-3</v>
      </c>
      <c r="I92" s="29" t="s">
        <v>53</v>
      </c>
    </row>
    <row r="93" spans="1:9" x14ac:dyDescent="0.2">
      <c r="A93" s="25" t="s">
        <v>66</v>
      </c>
      <c r="B93" s="30" t="s">
        <v>52</v>
      </c>
      <c r="C93" s="25" t="s">
        <v>30</v>
      </c>
      <c r="D93" s="26">
        <v>60</v>
      </c>
      <c r="E93" s="25">
        <v>1</v>
      </c>
      <c r="F93" s="27">
        <v>0.15</v>
      </c>
      <c r="G93" s="25">
        <v>23</v>
      </c>
      <c r="H93" s="28">
        <f t="shared" si="2"/>
        <v>7.3213370000000007E-3</v>
      </c>
      <c r="I93" s="29" t="s">
        <v>53</v>
      </c>
    </row>
    <row r="94" spans="1:9" x14ac:dyDescent="0.2">
      <c r="A94" s="25" t="s">
        <v>66</v>
      </c>
      <c r="B94" s="30" t="s">
        <v>52</v>
      </c>
      <c r="C94" s="25" t="s">
        <v>30</v>
      </c>
      <c r="D94" s="26">
        <v>60</v>
      </c>
      <c r="E94" s="25">
        <v>2</v>
      </c>
      <c r="F94" s="27">
        <v>0.28999999999999998</v>
      </c>
      <c r="G94" s="25">
        <v>264</v>
      </c>
      <c r="H94" s="28">
        <f t="shared" si="2"/>
        <v>8.4036216000000011E-2</v>
      </c>
      <c r="I94" s="29" t="s">
        <v>51</v>
      </c>
    </row>
    <row r="95" spans="1:9" x14ac:dyDescent="0.2">
      <c r="A95" s="25" t="s">
        <v>66</v>
      </c>
      <c r="B95" s="30" t="s">
        <v>52</v>
      </c>
      <c r="C95" s="25" t="s">
        <v>30</v>
      </c>
      <c r="D95" s="26">
        <v>60</v>
      </c>
      <c r="E95" s="25">
        <v>3</v>
      </c>
      <c r="F95" s="27">
        <v>0.42</v>
      </c>
      <c r="G95" s="25">
        <v>576</v>
      </c>
      <c r="H95" s="28">
        <f t="shared" si="2"/>
        <v>0.18335174399999998</v>
      </c>
      <c r="I95" s="29" t="s">
        <v>51</v>
      </c>
    </row>
    <row r="96" spans="1:9" x14ac:dyDescent="0.2">
      <c r="A96" s="25" t="s">
        <v>66</v>
      </c>
      <c r="B96" s="30" t="s">
        <v>52</v>
      </c>
      <c r="C96" s="25" t="s">
        <v>30</v>
      </c>
      <c r="D96" s="26">
        <v>60</v>
      </c>
      <c r="E96" s="25">
        <v>4</v>
      </c>
      <c r="F96" s="27">
        <v>0.55000000000000004</v>
      </c>
      <c r="G96" s="25">
        <v>719</v>
      </c>
      <c r="H96" s="28">
        <f t="shared" si="2"/>
        <v>0.228871361</v>
      </c>
      <c r="I96" s="29" t="s">
        <v>51</v>
      </c>
    </row>
    <row r="97" spans="1:9" x14ac:dyDescent="0.2">
      <c r="A97" s="25" t="s">
        <v>66</v>
      </c>
      <c r="B97" s="30" t="s">
        <v>52</v>
      </c>
      <c r="C97" s="25" t="s">
        <v>30</v>
      </c>
      <c r="D97" s="26">
        <v>60</v>
      </c>
      <c r="E97" s="25">
        <v>5</v>
      </c>
      <c r="F97" s="27">
        <v>0.68</v>
      </c>
      <c r="G97" s="25">
        <v>849</v>
      </c>
      <c r="H97" s="28">
        <f t="shared" si="2"/>
        <v>0.27025283100000003</v>
      </c>
      <c r="I97" s="29" t="s">
        <v>51</v>
      </c>
    </row>
    <row r="98" spans="1:9" x14ac:dyDescent="0.2">
      <c r="A98" s="25" t="s">
        <v>66</v>
      </c>
      <c r="B98" s="30" t="s">
        <v>52</v>
      </c>
      <c r="C98" s="25" t="s">
        <v>30</v>
      </c>
      <c r="D98" s="26">
        <v>60</v>
      </c>
      <c r="E98" s="25">
        <v>7</v>
      </c>
      <c r="F98" s="27">
        <v>0.84</v>
      </c>
      <c r="G98" s="25">
        <v>980</v>
      </c>
      <c r="H98" s="28">
        <f t="shared" si="2"/>
        <v>0.31195262000000001</v>
      </c>
      <c r="I98" s="29" t="s">
        <v>51</v>
      </c>
    </row>
    <row r="99" spans="1:9" x14ac:dyDescent="0.2">
      <c r="A99" s="25" t="s">
        <v>66</v>
      </c>
      <c r="B99" s="30" t="s">
        <v>52</v>
      </c>
      <c r="C99" s="25" t="s">
        <v>30</v>
      </c>
      <c r="D99" s="26">
        <v>60</v>
      </c>
      <c r="E99" s="25">
        <v>10</v>
      </c>
      <c r="F99" s="27">
        <v>0.95</v>
      </c>
      <c r="G99" s="25">
        <v>1017</v>
      </c>
      <c r="H99" s="28">
        <f t="shared" si="2"/>
        <v>0.32373042299999999</v>
      </c>
      <c r="I99" s="29" t="s">
        <v>51</v>
      </c>
    </row>
    <row r="100" spans="1:9" x14ac:dyDescent="0.2">
      <c r="A100" s="31" t="s">
        <v>65</v>
      </c>
      <c r="B100" s="32" t="s">
        <v>55</v>
      </c>
      <c r="C100" s="33" t="s">
        <v>27</v>
      </c>
      <c r="D100" s="31">
        <v>60</v>
      </c>
      <c r="E100" s="33">
        <v>0</v>
      </c>
      <c r="F100" s="34">
        <v>0</v>
      </c>
      <c r="G100" s="33">
        <v>81</v>
      </c>
      <c r="H100" s="35">
        <f t="shared" si="2"/>
        <v>2.5783839000000003E-2</v>
      </c>
      <c r="I100" s="36" t="s">
        <v>54</v>
      </c>
    </row>
    <row r="101" spans="1:9" x14ac:dyDescent="0.2">
      <c r="A101" s="31" t="s">
        <v>65</v>
      </c>
      <c r="B101" s="32" t="s">
        <v>55</v>
      </c>
      <c r="C101" s="33" t="s">
        <v>27</v>
      </c>
      <c r="D101" s="31">
        <v>60</v>
      </c>
      <c r="E101" s="33">
        <v>1</v>
      </c>
      <c r="F101" s="34">
        <v>0.14000000000000001</v>
      </c>
      <c r="G101" s="33">
        <v>342</v>
      </c>
      <c r="H101" s="35">
        <f t="shared" si="2"/>
        <v>0.10886509800000002</v>
      </c>
      <c r="I101" s="36" t="s">
        <v>54</v>
      </c>
    </row>
    <row r="102" spans="1:9" x14ac:dyDescent="0.2">
      <c r="A102" s="31" t="s">
        <v>65</v>
      </c>
      <c r="B102" s="32" t="s">
        <v>55</v>
      </c>
      <c r="C102" s="33" t="s">
        <v>27</v>
      </c>
      <c r="D102" s="31">
        <v>60</v>
      </c>
      <c r="E102" s="33">
        <v>2</v>
      </c>
      <c r="F102" s="34">
        <v>0.28999999999999998</v>
      </c>
      <c r="G102" s="33">
        <v>452</v>
      </c>
      <c r="H102" s="35">
        <f t="shared" si="2"/>
        <v>0.14388018800000002</v>
      </c>
      <c r="I102" s="36" t="s">
        <v>54</v>
      </c>
    </row>
    <row r="103" spans="1:9" x14ac:dyDescent="0.2">
      <c r="A103" s="31" t="s">
        <v>65</v>
      </c>
      <c r="B103" s="32" t="s">
        <v>55</v>
      </c>
      <c r="C103" s="33" t="s">
        <v>27</v>
      </c>
      <c r="D103" s="31">
        <v>60</v>
      </c>
      <c r="E103" s="33">
        <v>3</v>
      </c>
      <c r="F103" s="34">
        <v>0.43</v>
      </c>
      <c r="G103" s="33">
        <v>539</v>
      </c>
      <c r="H103" s="35">
        <f t="shared" si="2"/>
        <v>0.17157394100000001</v>
      </c>
      <c r="I103" s="36" t="s">
        <v>54</v>
      </c>
    </row>
    <row r="104" spans="1:9" x14ac:dyDescent="0.2">
      <c r="A104" s="31" t="s">
        <v>65</v>
      </c>
      <c r="B104" s="32" t="s">
        <v>55</v>
      </c>
      <c r="C104" s="33" t="s">
        <v>27</v>
      </c>
      <c r="D104" s="31">
        <v>60</v>
      </c>
      <c r="E104" s="33">
        <v>4</v>
      </c>
      <c r="F104" s="34">
        <v>0.56000000000000005</v>
      </c>
      <c r="G104" s="33">
        <v>714</v>
      </c>
      <c r="H104" s="35">
        <f t="shared" si="2"/>
        <v>0.22727976599999999</v>
      </c>
      <c r="I104" s="36" t="s">
        <v>54</v>
      </c>
    </row>
    <row r="105" spans="1:9" x14ac:dyDescent="0.2">
      <c r="A105" s="31" t="s">
        <v>65</v>
      </c>
      <c r="B105" s="32" t="s">
        <v>55</v>
      </c>
      <c r="C105" s="33" t="s">
        <v>27</v>
      </c>
      <c r="D105" s="31">
        <v>60</v>
      </c>
      <c r="E105" s="33">
        <v>5</v>
      </c>
      <c r="F105" s="34">
        <v>0.69</v>
      </c>
      <c r="G105" s="33">
        <v>966</v>
      </c>
      <c r="H105" s="35">
        <f t="shared" si="2"/>
        <v>0.30749615400000002</v>
      </c>
      <c r="I105" s="36" t="s">
        <v>54</v>
      </c>
    </row>
    <row r="106" spans="1:9" x14ac:dyDescent="0.2">
      <c r="A106" s="31" t="s">
        <v>65</v>
      </c>
      <c r="B106" s="32" t="s">
        <v>55</v>
      </c>
      <c r="C106" s="33" t="s">
        <v>27</v>
      </c>
      <c r="D106" s="31">
        <v>60</v>
      </c>
      <c r="E106" s="33">
        <v>7</v>
      </c>
      <c r="F106" s="34">
        <v>0.87</v>
      </c>
      <c r="G106" s="33">
        <v>1514</v>
      </c>
      <c r="H106" s="35">
        <f t="shared" ref="H106:H137" si="4">G106/1000*0.318319</f>
        <v>0.48193496600000002</v>
      </c>
      <c r="I106" s="36" t="s">
        <v>54</v>
      </c>
    </row>
    <row r="107" spans="1:9" x14ac:dyDescent="0.2">
      <c r="A107" s="31" t="s">
        <v>65</v>
      </c>
      <c r="B107" s="32" t="s">
        <v>55</v>
      </c>
      <c r="C107" s="33" t="s">
        <v>27</v>
      </c>
      <c r="D107" s="31">
        <v>60</v>
      </c>
      <c r="E107" s="33">
        <v>10</v>
      </c>
      <c r="F107" s="34">
        <v>0.98</v>
      </c>
      <c r="G107" s="33">
        <v>1777</v>
      </c>
      <c r="H107" s="35">
        <f t="shared" si="4"/>
        <v>0.56565286299999995</v>
      </c>
      <c r="I107" s="36" t="s">
        <v>54</v>
      </c>
    </row>
    <row r="108" spans="1:9" x14ac:dyDescent="0.2">
      <c r="A108" s="6" t="s">
        <v>20</v>
      </c>
      <c r="B108" s="7" t="s">
        <v>22</v>
      </c>
      <c r="C108" s="8" t="s">
        <v>9</v>
      </c>
      <c r="D108" s="6">
        <v>60</v>
      </c>
      <c r="E108" s="8">
        <v>0</v>
      </c>
      <c r="F108" s="9">
        <v>0</v>
      </c>
      <c r="G108" s="8">
        <v>27</v>
      </c>
      <c r="H108" s="10">
        <f t="shared" si="4"/>
        <v>8.5946130000000009E-3</v>
      </c>
      <c r="I108" s="11" t="s">
        <v>54</v>
      </c>
    </row>
    <row r="109" spans="1:9" x14ac:dyDescent="0.2">
      <c r="A109" s="6" t="s">
        <v>20</v>
      </c>
      <c r="B109" s="7" t="s">
        <v>22</v>
      </c>
      <c r="C109" s="8" t="s">
        <v>9</v>
      </c>
      <c r="D109" s="6">
        <v>60</v>
      </c>
      <c r="E109" s="8">
        <v>1</v>
      </c>
      <c r="F109" s="9">
        <v>0.15</v>
      </c>
      <c r="G109" s="8">
        <v>109</v>
      </c>
      <c r="H109" s="10">
        <f t="shared" si="4"/>
        <v>3.4696771000000001E-2</v>
      </c>
      <c r="I109" s="11" t="s">
        <v>54</v>
      </c>
    </row>
    <row r="110" spans="1:9" x14ac:dyDescent="0.2">
      <c r="A110" s="6" t="s">
        <v>20</v>
      </c>
      <c r="B110" s="7" t="s">
        <v>22</v>
      </c>
      <c r="C110" s="8" t="s">
        <v>9</v>
      </c>
      <c r="D110" s="6">
        <v>60</v>
      </c>
      <c r="E110" s="8">
        <v>2</v>
      </c>
      <c r="F110" s="9">
        <v>0.28999999999999998</v>
      </c>
      <c r="G110" s="8">
        <v>157</v>
      </c>
      <c r="H110" s="10">
        <f t="shared" si="4"/>
        <v>4.9976083000000004E-2</v>
      </c>
      <c r="I110" s="11" t="s">
        <v>54</v>
      </c>
    </row>
    <row r="111" spans="1:9" x14ac:dyDescent="0.2">
      <c r="A111" s="6" t="s">
        <v>20</v>
      </c>
      <c r="B111" s="7" t="s">
        <v>22</v>
      </c>
      <c r="C111" s="8" t="s">
        <v>9</v>
      </c>
      <c r="D111" s="6">
        <v>60</v>
      </c>
      <c r="E111" s="8">
        <v>3</v>
      </c>
      <c r="F111" s="9">
        <v>0.44</v>
      </c>
      <c r="G111" s="8">
        <v>355</v>
      </c>
      <c r="H111" s="10">
        <f t="shared" si="4"/>
        <v>0.113003245</v>
      </c>
      <c r="I111" s="11" t="s">
        <v>54</v>
      </c>
    </row>
    <row r="112" spans="1:9" x14ac:dyDescent="0.2">
      <c r="A112" s="6" t="s">
        <v>20</v>
      </c>
      <c r="B112" s="7" t="s">
        <v>22</v>
      </c>
      <c r="C112" s="8" t="s">
        <v>9</v>
      </c>
      <c r="D112" s="6">
        <v>60</v>
      </c>
      <c r="E112" s="8">
        <v>4</v>
      </c>
      <c r="F112" s="9">
        <v>0.57999999999999996</v>
      </c>
      <c r="G112" s="8">
        <v>515</v>
      </c>
      <c r="H112" s="10">
        <f t="shared" si="4"/>
        <v>0.16393428500000001</v>
      </c>
      <c r="I112" s="11" t="s">
        <v>54</v>
      </c>
    </row>
    <row r="113" spans="1:9" x14ac:dyDescent="0.2">
      <c r="A113" s="6" t="s">
        <v>20</v>
      </c>
      <c r="B113" s="7" t="s">
        <v>22</v>
      </c>
      <c r="C113" s="8" t="s">
        <v>9</v>
      </c>
      <c r="D113" s="6">
        <v>60</v>
      </c>
      <c r="E113" s="8">
        <v>5</v>
      </c>
      <c r="F113" s="9">
        <v>0.71</v>
      </c>
      <c r="G113" s="8">
        <v>659</v>
      </c>
      <c r="H113" s="10">
        <f t="shared" si="4"/>
        <v>0.20977222100000001</v>
      </c>
      <c r="I113" s="11" t="s">
        <v>54</v>
      </c>
    </row>
    <row r="114" spans="1:9" x14ac:dyDescent="0.2">
      <c r="A114" s="6" t="s">
        <v>20</v>
      </c>
      <c r="B114" s="7" t="s">
        <v>22</v>
      </c>
      <c r="C114" s="8" t="s">
        <v>9</v>
      </c>
      <c r="D114" s="6">
        <v>60</v>
      </c>
      <c r="E114" s="8">
        <v>7</v>
      </c>
      <c r="F114" s="9">
        <v>0.87</v>
      </c>
      <c r="G114" s="8">
        <v>858</v>
      </c>
      <c r="H114" s="10">
        <f t="shared" si="4"/>
        <v>0.27311770200000002</v>
      </c>
      <c r="I114" s="11" t="s">
        <v>54</v>
      </c>
    </row>
    <row r="115" spans="1:9" x14ac:dyDescent="0.2">
      <c r="A115" s="6" t="s">
        <v>20</v>
      </c>
      <c r="B115" s="7" t="s">
        <v>22</v>
      </c>
      <c r="C115" s="8" t="s">
        <v>9</v>
      </c>
      <c r="D115" s="6">
        <v>60</v>
      </c>
      <c r="E115" s="8">
        <v>10</v>
      </c>
      <c r="F115" s="9">
        <v>0.98</v>
      </c>
      <c r="G115" s="8">
        <v>957</v>
      </c>
      <c r="H115" s="10">
        <f t="shared" si="4"/>
        <v>0.30463128300000003</v>
      </c>
      <c r="I115" s="11" t="s">
        <v>54</v>
      </c>
    </row>
    <row r="116" spans="1:9" x14ac:dyDescent="0.2">
      <c r="A116" s="31" t="s">
        <v>65</v>
      </c>
      <c r="B116" s="32" t="s">
        <v>55</v>
      </c>
      <c r="C116" s="33" t="s">
        <v>9</v>
      </c>
      <c r="D116" s="31">
        <v>60</v>
      </c>
      <c r="E116" s="33">
        <v>0</v>
      </c>
      <c r="F116" s="34">
        <v>0</v>
      </c>
      <c r="G116" s="33">
        <v>185</v>
      </c>
      <c r="H116" s="35">
        <f t="shared" si="4"/>
        <v>5.8889015000000003E-2</v>
      </c>
      <c r="I116" s="36" t="s">
        <v>54</v>
      </c>
    </row>
    <row r="117" spans="1:9" x14ac:dyDescent="0.2">
      <c r="A117" s="31" t="s">
        <v>65</v>
      </c>
      <c r="B117" s="32" t="s">
        <v>55</v>
      </c>
      <c r="C117" s="33" t="s">
        <v>9</v>
      </c>
      <c r="D117" s="31">
        <v>60</v>
      </c>
      <c r="E117" s="33">
        <v>1</v>
      </c>
      <c r="F117" s="34">
        <v>0.15</v>
      </c>
      <c r="G117" s="33">
        <v>318</v>
      </c>
      <c r="H117" s="35">
        <f t="shared" si="4"/>
        <v>0.10122544200000001</v>
      </c>
      <c r="I117" s="36" t="s">
        <v>54</v>
      </c>
    </row>
    <row r="118" spans="1:9" x14ac:dyDescent="0.2">
      <c r="A118" s="31" t="s">
        <v>65</v>
      </c>
      <c r="B118" s="32" t="s">
        <v>55</v>
      </c>
      <c r="C118" s="33" t="s">
        <v>9</v>
      </c>
      <c r="D118" s="31">
        <v>60</v>
      </c>
      <c r="E118" s="33">
        <v>2</v>
      </c>
      <c r="F118" s="34">
        <v>0.3</v>
      </c>
      <c r="G118" s="33">
        <v>447</v>
      </c>
      <c r="H118" s="35">
        <f t="shared" si="4"/>
        <v>0.14228859300000002</v>
      </c>
      <c r="I118" s="36" t="s">
        <v>54</v>
      </c>
    </row>
    <row r="119" spans="1:9" x14ac:dyDescent="0.2">
      <c r="A119" s="31" t="s">
        <v>65</v>
      </c>
      <c r="B119" s="32" t="s">
        <v>55</v>
      </c>
      <c r="C119" s="33" t="s">
        <v>9</v>
      </c>
      <c r="D119" s="31">
        <v>60</v>
      </c>
      <c r="E119" s="33">
        <v>3</v>
      </c>
      <c r="F119" s="34">
        <v>0.45</v>
      </c>
      <c r="G119" s="33">
        <v>609</v>
      </c>
      <c r="H119" s="35">
        <f t="shared" si="4"/>
        <v>0.193856271</v>
      </c>
      <c r="I119" s="36" t="s">
        <v>54</v>
      </c>
    </row>
    <row r="120" spans="1:9" x14ac:dyDescent="0.2">
      <c r="A120" s="31" t="s">
        <v>65</v>
      </c>
      <c r="B120" s="32" t="s">
        <v>55</v>
      </c>
      <c r="C120" s="33" t="s">
        <v>9</v>
      </c>
      <c r="D120" s="31">
        <v>60</v>
      </c>
      <c r="E120" s="33">
        <v>4</v>
      </c>
      <c r="F120" s="34">
        <v>0.59</v>
      </c>
      <c r="G120" s="33">
        <v>979</v>
      </c>
      <c r="H120" s="35">
        <f t="shared" si="4"/>
        <v>0.311634301</v>
      </c>
      <c r="I120" s="36" t="s">
        <v>54</v>
      </c>
    </row>
    <row r="121" spans="1:9" x14ac:dyDescent="0.2">
      <c r="A121" s="31" t="s">
        <v>65</v>
      </c>
      <c r="B121" s="32" t="s">
        <v>55</v>
      </c>
      <c r="C121" s="33" t="s">
        <v>9</v>
      </c>
      <c r="D121" s="31">
        <v>60</v>
      </c>
      <c r="E121" s="33">
        <v>5</v>
      </c>
      <c r="F121" s="34">
        <v>0.72</v>
      </c>
      <c r="G121" s="33">
        <v>1337</v>
      </c>
      <c r="H121" s="35">
        <f t="shared" si="4"/>
        <v>0.42559250300000001</v>
      </c>
      <c r="I121" s="36" t="s">
        <v>54</v>
      </c>
    </row>
    <row r="122" spans="1:9" x14ac:dyDescent="0.2">
      <c r="A122" s="31" t="s">
        <v>65</v>
      </c>
      <c r="B122" s="32" t="s">
        <v>55</v>
      </c>
      <c r="C122" s="33" t="s">
        <v>9</v>
      </c>
      <c r="D122" s="31">
        <v>60</v>
      </c>
      <c r="E122" s="33">
        <v>7</v>
      </c>
      <c r="F122" s="34">
        <v>0.88</v>
      </c>
      <c r="G122" s="33">
        <v>1741</v>
      </c>
      <c r="H122" s="35">
        <f t="shared" si="4"/>
        <v>0.5541933790000001</v>
      </c>
      <c r="I122" s="36" t="s">
        <v>54</v>
      </c>
    </row>
    <row r="123" spans="1:9" x14ac:dyDescent="0.2">
      <c r="A123" s="31" t="s">
        <v>65</v>
      </c>
      <c r="B123" s="32" t="s">
        <v>55</v>
      </c>
      <c r="C123" s="33" t="s">
        <v>9</v>
      </c>
      <c r="D123" s="31">
        <v>60</v>
      </c>
      <c r="E123" s="33">
        <v>10</v>
      </c>
      <c r="F123" s="34">
        <v>0.99</v>
      </c>
      <c r="G123" s="33">
        <v>1988</v>
      </c>
      <c r="H123" s="35">
        <f t="shared" si="4"/>
        <v>0.63281817200000001</v>
      </c>
      <c r="I123" s="36" t="s">
        <v>54</v>
      </c>
    </row>
    <row r="124" spans="1:9" x14ac:dyDescent="0.2">
      <c r="A124" s="12" t="s">
        <v>46</v>
      </c>
      <c r="B124" s="13" t="s">
        <v>38</v>
      </c>
      <c r="C124" s="14" t="s">
        <v>9</v>
      </c>
      <c r="D124" s="12">
        <v>60</v>
      </c>
      <c r="E124" s="14">
        <v>0</v>
      </c>
      <c r="F124" s="15">
        <v>0</v>
      </c>
      <c r="G124" s="14">
        <v>148</v>
      </c>
      <c r="H124" s="16">
        <f t="shared" si="4"/>
        <v>4.7111212E-2</v>
      </c>
      <c r="I124" s="17" t="s">
        <v>69</v>
      </c>
    </row>
    <row r="125" spans="1:9" x14ac:dyDescent="0.2">
      <c r="A125" s="12" t="s">
        <v>46</v>
      </c>
      <c r="B125" s="13" t="s">
        <v>38</v>
      </c>
      <c r="C125" s="14" t="s">
        <v>9</v>
      </c>
      <c r="D125" s="12">
        <v>60</v>
      </c>
      <c r="E125" s="14">
        <v>1</v>
      </c>
      <c r="F125" s="15">
        <v>0.15</v>
      </c>
      <c r="G125" s="14">
        <v>179</v>
      </c>
      <c r="H125" s="16">
        <f t="shared" si="4"/>
        <v>5.6979101000000004E-2</v>
      </c>
      <c r="I125" s="17" t="s">
        <v>69</v>
      </c>
    </row>
    <row r="126" spans="1:9" x14ac:dyDescent="0.2">
      <c r="A126" s="12" t="s">
        <v>46</v>
      </c>
      <c r="B126" s="13" t="s">
        <v>39</v>
      </c>
      <c r="C126" s="14" t="s">
        <v>9</v>
      </c>
      <c r="D126" s="12">
        <v>60</v>
      </c>
      <c r="E126" s="14">
        <v>2</v>
      </c>
      <c r="F126" s="15">
        <v>0.28999999999999998</v>
      </c>
      <c r="G126" s="14">
        <v>266</v>
      </c>
      <c r="H126" s="16">
        <f t="shared" si="4"/>
        <v>8.4672854000000006E-2</v>
      </c>
      <c r="I126" s="17" t="s">
        <v>69</v>
      </c>
    </row>
    <row r="127" spans="1:9" x14ac:dyDescent="0.2">
      <c r="A127" s="12" t="s">
        <v>46</v>
      </c>
      <c r="B127" s="13" t="s">
        <v>39</v>
      </c>
      <c r="C127" s="14" t="s">
        <v>9</v>
      </c>
      <c r="D127" s="12">
        <v>60</v>
      </c>
      <c r="E127" s="14">
        <v>3</v>
      </c>
      <c r="F127" s="15">
        <v>0.42</v>
      </c>
      <c r="G127" s="14">
        <v>396</v>
      </c>
      <c r="H127" s="16">
        <f t="shared" si="4"/>
        <v>0.12605432400000002</v>
      </c>
      <c r="I127" s="17" t="s">
        <v>69</v>
      </c>
    </row>
    <row r="128" spans="1:9" x14ac:dyDescent="0.2">
      <c r="A128" s="12" t="s">
        <v>46</v>
      </c>
      <c r="B128" s="13" t="s">
        <v>39</v>
      </c>
      <c r="C128" s="14" t="s">
        <v>9</v>
      </c>
      <c r="D128" s="12">
        <v>60</v>
      </c>
      <c r="E128" s="14">
        <v>4</v>
      </c>
      <c r="F128" s="15">
        <v>0.55000000000000004</v>
      </c>
      <c r="G128" s="14">
        <v>497</v>
      </c>
      <c r="H128" s="16">
        <f t="shared" si="4"/>
        <v>0.158204543</v>
      </c>
      <c r="I128" s="17" t="s">
        <v>69</v>
      </c>
    </row>
    <row r="129" spans="1:9" x14ac:dyDescent="0.2">
      <c r="A129" s="12" t="s">
        <v>46</v>
      </c>
      <c r="B129" s="13" t="s">
        <v>39</v>
      </c>
      <c r="C129" s="14" t="s">
        <v>9</v>
      </c>
      <c r="D129" s="12">
        <v>60</v>
      </c>
      <c r="E129" s="14">
        <v>5</v>
      </c>
      <c r="F129" s="15">
        <v>0.68</v>
      </c>
      <c r="G129" s="14">
        <v>606</v>
      </c>
      <c r="H129" s="16">
        <f t="shared" si="4"/>
        <v>0.19290131400000002</v>
      </c>
      <c r="I129" s="17" t="s">
        <v>69</v>
      </c>
    </row>
    <row r="130" spans="1:9" x14ac:dyDescent="0.2">
      <c r="A130" s="12" t="s">
        <v>46</v>
      </c>
      <c r="B130" s="13" t="s">
        <v>39</v>
      </c>
      <c r="C130" s="14" t="s">
        <v>9</v>
      </c>
      <c r="D130" s="12">
        <v>60</v>
      </c>
      <c r="E130" s="14">
        <v>7</v>
      </c>
      <c r="F130" s="15">
        <v>0.84</v>
      </c>
      <c r="G130" s="14">
        <v>741</v>
      </c>
      <c r="H130" s="16">
        <f t="shared" si="4"/>
        <v>0.23587437900000002</v>
      </c>
      <c r="I130" s="17" t="s">
        <v>69</v>
      </c>
    </row>
    <row r="131" spans="1:9" x14ac:dyDescent="0.2">
      <c r="A131" s="12" t="s">
        <v>46</v>
      </c>
      <c r="B131" s="13" t="s">
        <v>39</v>
      </c>
      <c r="C131" s="14" t="s">
        <v>9</v>
      </c>
      <c r="D131" s="12">
        <v>60</v>
      </c>
      <c r="E131" s="14">
        <v>10</v>
      </c>
      <c r="F131" s="15">
        <v>0.93</v>
      </c>
      <c r="G131" s="14">
        <v>839</v>
      </c>
      <c r="H131" s="16">
        <f t="shared" si="4"/>
        <v>0.26706964100000002</v>
      </c>
      <c r="I131" s="17" t="s">
        <v>69</v>
      </c>
    </row>
    <row r="132" spans="1:9" x14ac:dyDescent="0.2">
      <c r="A132" s="6" t="s">
        <v>45</v>
      </c>
      <c r="B132" s="7" t="s">
        <v>35</v>
      </c>
      <c r="C132" s="8" t="s">
        <v>9</v>
      </c>
      <c r="D132" s="6">
        <v>60</v>
      </c>
      <c r="E132" s="8">
        <v>0</v>
      </c>
      <c r="F132" s="9">
        <v>0</v>
      </c>
      <c r="G132" s="8">
        <v>125</v>
      </c>
      <c r="H132" s="10">
        <f t="shared" si="4"/>
        <v>3.9789875000000002E-2</v>
      </c>
      <c r="I132" s="11" t="s">
        <v>70</v>
      </c>
    </row>
    <row r="133" spans="1:9" x14ac:dyDescent="0.2">
      <c r="A133" s="6" t="s">
        <v>45</v>
      </c>
      <c r="B133" s="7" t="s">
        <v>35</v>
      </c>
      <c r="C133" s="8" t="s">
        <v>9</v>
      </c>
      <c r="D133" s="6">
        <v>60</v>
      </c>
      <c r="E133" s="8">
        <v>1</v>
      </c>
      <c r="F133" s="9">
        <v>0.15</v>
      </c>
      <c r="G133" s="8">
        <v>283</v>
      </c>
      <c r="H133" s="10">
        <f t="shared" si="4"/>
        <v>9.008427699999999E-2</v>
      </c>
      <c r="I133" s="11" t="s">
        <v>70</v>
      </c>
    </row>
    <row r="134" spans="1:9" x14ac:dyDescent="0.2">
      <c r="A134" s="6" t="s">
        <v>45</v>
      </c>
      <c r="B134" s="7" t="s">
        <v>37</v>
      </c>
      <c r="C134" s="8" t="s">
        <v>9</v>
      </c>
      <c r="D134" s="6">
        <v>60</v>
      </c>
      <c r="E134" s="8">
        <v>2</v>
      </c>
      <c r="F134" s="9">
        <v>0.3</v>
      </c>
      <c r="G134" s="8">
        <v>386</v>
      </c>
      <c r="H134" s="10">
        <f t="shared" si="4"/>
        <v>0.12287113400000001</v>
      </c>
      <c r="I134" s="11" t="s">
        <v>70</v>
      </c>
    </row>
    <row r="135" spans="1:9" x14ac:dyDescent="0.2">
      <c r="A135" s="6" t="s">
        <v>45</v>
      </c>
      <c r="B135" s="7" t="s">
        <v>37</v>
      </c>
      <c r="C135" s="8" t="s">
        <v>9</v>
      </c>
      <c r="D135" s="6">
        <v>60</v>
      </c>
      <c r="E135" s="8">
        <v>3</v>
      </c>
      <c r="F135" s="9">
        <v>0.44</v>
      </c>
      <c r="G135" s="8">
        <v>487</v>
      </c>
      <c r="H135" s="10">
        <f t="shared" si="4"/>
        <v>0.155021353</v>
      </c>
      <c r="I135" s="11" t="s">
        <v>70</v>
      </c>
    </row>
    <row r="136" spans="1:9" x14ac:dyDescent="0.2">
      <c r="A136" s="6" t="s">
        <v>45</v>
      </c>
      <c r="B136" s="7" t="s">
        <v>37</v>
      </c>
      <c r="C136" s="8" t="s">
        <v>9</v>
      </c>
      <c r="D136" s="6">
        <v>60</v>
      </c>
      <c r="E136" s="8">
        <v>4</v>
      </c>
      <c r="F136" s="9">
        <v>0.56999999999999995</v>
      </c>
      <c r="G136" s="8">
        <v>582</v>
      </c>
      <c r="H136" s="10">
        <f t="shared" si="4"/>
        <v>0.185261658</v>
      </c>
      <c r="I136" s="11" t="s">
        <v>70</v>
      </c>
    </row>
    <row r="137" spans="1:9" x14ac:dyDescent="0.2">
      <c r="A137" s="6" t="s">
        <v>45</v>
      </c>
      <c r="B137" s="7" t="s">
        <v>37</v>
      </c>
      <c r="C137" s="8" t="s">
        <v>9</v>
      </c>
      <c r="D137" s="6">
        <v>60</v>
      </c>
      <c r="E137" s="8">
        <v>5</v>
      </c>
      <c r="F137" s="9">
        <v>0.7</v>
      </c>
      <c r="G137" s="8">
        <v>655</v>
      </c>
      <c r="H137" s="10">
        <f t="shared" si="4"/>
        <v>0.20849894500000002</v>
      </c>
      <c r="I137" s="11" t="s">
        <v>70</v>
      </c>
    </row>
    <row r="138" spans="1:9" x14ac:dyDescent="0.2">
      <c r="A138" s="6" t="s">
        <v>45</v>
      </c>
      <c r="B138" s="7" t="s">
        <v>37</v>
      </c>
      <c r="C138" s="8" t="s">
        <v>9</v>
      </c>
      <c r="D138" s="6">
        <v>60</v>
      </c>
      <c r="E138" s="8">
        <v>7</v>
      </c>
      <c r="F138" s="9">
        <v>0.87</v>
      </c>
      <c r="G138" s="8">
        <v>744</v>
      </c>
      <c r="H138" s="10">
        <f t="shared" ref="H138:H195" si="5">G138/1000*0.318319</f>
        <v>0.236829336</v>
      </c>
      <c r="I138" s="11" t="s">
        <v>69</v>
      </c>
    </row>
    <row r="139" spans="1:9" x14ac:dyDescent="0.2">
      <c r="A139" s="6" t="s">
        <v>45</v>
      </c>
      <c r="B139" s="7" t="s">
        <v>37</v>
      </c>
      <c r="C139" s="8" t="s">
        <v>9</v>
      </c>
      <c r="D139" s="6">
        <v>60</v>
      </c>
      <c r="E139" s="8">
        <v>10</v>
      </c>
      <c r="F139" s="9">
        <v>0.98</v>
      </c>
      <c r="G139" s="8">
        <v>802</v>
      </c>
      <c r="H139" s="10">
        <f t="shared" si="5"/>
        <v>0.25529183800000005</v>
      </c>
      <c r="I139" s="11" t="s">
        <v>69</v>
      </c>
    </row>
    <row r="140" spans="1:9" x14ac:dyDescent="0.2">
      <c r="A140" s="20" t="s">
        <v>72</v>
      </c>
      <c r="B140" s="19" t="s">
        <v>71</v>
      </c>
      <c r="C140" s="20" t="s">
        <v>9</v>
      </c>
      <c r="D140" s="18">
        <v>60</v>
      </c>
      <c r="E140" s="20">
        <v>0</v>
      </c>
      <c r="F140" s="21">
        <v>0</v>
      </c>
      <c r="G140" s="20">
        <v>15</v>
      </c>
      <c r="H140" s="22">
        <f t="shared" si="5"/>
        <v>4.7747850000000001E-3</v>
      </c>
      <c r="I140" s="23" t="s">
        <v>69</v>
      </c>
    </row>
    <row r="141" spans="1:9" x14ac:dyDescent="0.2">
      <c r="A141" s="20" t="s">
        <v>72</v>
      </c>
      <c r="B141" s="19" t="s">
        <v>71</v>
      </c>
      <c r="C141" s="20" t="s">
        <v>9</v>
      </c>
      <c r="D141" s="18">
        <v>60</v>
      </c>
      <c r="E141" s="20">
        <v>1</v>
      </c>
      <c r="F141" s="21">
        <v>0.15</v>
      </c>
      <c r="G141" s="20">
        <v>57</v>
      </c>
      <c r="H141" s="22">
        <f t="shared" si="5"/>
        <v>1.8144183000000001E-2</v>
      </c>
      <c r="I141" s="23" t="s">
        <v>69</v>
      </c>
    </row>
    <row r="142" spans="1:9" x14ac:dyDescent="0.2">
      <c r="A142" s="20" t="s">
        <v>72</v>
      </c>
      <c r="B142" s="19" t="s">
        <v>71</v>
      </c>
      <c r="C142" s="20" t="s">
        <v>9</v>
      </c>
      <c r="D142" s="18">
        <v>60</v>
      </c>
      <c r="E142" s="20">
        <v>2</v>
      </c>
      <c r="F142" s="21">
        <v>0.3</v>
      </c>
      <c r="G142" s="20">
        <v>178</v>
      </c>
      <c r="H142" s="22">
        <f t="shared" si="5"/>
        <v>5.6660782E-2</v>
      </c>
      <c r="I142" s="23" t="s">
        <v>69</v>
      </c>
    </row>
    <row r="143" spans="1:9" x14ac:dyDescent="0.2">
      <c r="A143" s="20" t="s">
        <v>72</v>
      </c>
      <c r="B143" s="19" t="s">
        <v>71</v>
      </c>
      <c r="C143" s="20" t="s">
        <v>9</v>
      </c>
      <c r="D143" s="18">
        <v>60</v>
      </c>
      <c r="E143" s="20">
        <v>3</v>
      </c>
      <c r="F143" s="21">
        <v>0.44</v>
      </c>
      <c r="G143" s="20">
        <v>261</v>
      </c>
      <c r="H143" s="22">
        <f t="shared" si="5"/>
        <v>8.3081259000000005E-2</v>
      </c>
      <c r="I143" s="23" t="s">
        <v>69</v>
      </c>
    </row>
    <row r="144" spans="1:9" x14ac:dyDescent="0.2">
      <c r="A144" s="20" t="s">
        <v>72</v>
      </c>
      <c r="B144" s="19" t="s">
        <v>71</v>
      </c>
      <c r="C144" s="20" t="s">
        <v>9</v>
      </c>
      <c r="D144" s="18">
        <v>60</v>
      </c>
      <c r="E144" s="20">
        <v>4</v>
      </c>
      <c r="F144" s="21">
        <v>0.56999999999999995</v>
      </c>
      <c r="G144" s="20">
        <v>351</v>
      </c>
      <c r="H144" s="22">
        <f t="shared" si="5"/>
        <v>0.111729969</v>
      </c>
      <c r="I144" s="23" t="s">
        <v>69</v>
      </c>
    </row>
    <row r="145" spans="1:9" x14ac:dyDescent="0.2">
      <c r="A145" s="20" t="s">
        <v>72</v>
      </c>
      <c r="B145" s="19" t="s">
        <v>71</v>
      </c>
      <c r="C145" s="20" t="s">
        <v>19</v>
      </c>
      <c r="D145" s="18">
        <v>60</v>
      </c>
      <c r="E145" s="20">
        <v>5</v>
      </c>
      <c r="F145" s="21">
        <v>0.7</v>
      </c>
      <c r="G145" s="20">
        <v>457</v>
      </c>
      <c r="H145" s="22">
        <f t="shared" si="5"/>
        <v>0.14547178300000002</v>
      </c>
      <c r="I145" s="23" t="s">
        <v>69</v>
      </c>
    </row>
    <row r="146" spans="1:9" x14ac:dyDescent="0.2">
      <c r="A146" s="20" t="s">
        <v>72</v>
      </c>
      <c r="B146" s="19" t="s">
        <v>71</v>
      </c>
      <c r="C146" s="20" t="s">
        <v>19</v>
      </c>
      <c r="D146" s="18">
        <v>60</v>
      </c>
      <c r="E146" s="20">
        <v>7</v>
      </c>
      <c r="F146" s="21">
        <v>0.87</v>
      </c>
      <c r="G146" s="20">
        <v>608</v>
      </c>
      <c r="H146" s="22">
        <f t="shared" si="5"/>
        <v>0.19353795200000001</v>
      </c>
      <c r="I146" s="23" t="s">
        <v>69</v>
      </c>
    </row>
    <row r="147" spans="1:9" x14ac:dyDescent="0.2">
      <c r="A147" s="20" t="s">
        <v>72</v>
      </c>
      <c r="B147" s="19" t="s">
        <v>71</v>
      </c>
      <c r="C147" s="20" t="s">
        <v>19</v>
      </c>
      <c r="D147" s="18">
        <v>60</v>
      </c>
      <c r="E147" s="20">
        <v>10</v>
      </c>
      <c r="F147" s="21">
        <v>0.97</v>
      </c>
      <c r="G147" s="20">
        <v>740</v>
      </c>
      <c r="H147" s="22">
        <f t="shared" si="5"/>
        <v>0.23555606000000001</v>
      </c>
      <c r="I147" s="23" t="s">
        <v>69</v>
      </c>
    </row>
    <row r="148" spans="1:9" x14ac:dyDescent="0.2">
      <c r="A148" s="33" t="s">
        <v>75</v>
      </c>
      <c r="B148" s="32" t="s">
        <v>76</v>
      </c>
      <c r="C148" s="33" t="s">
        <v>9</v>
      </c>
      <c r="D148" s="31">
        <v>60</v>
      </c>
      <c r="E148" s="33">
        <v>0</v>
      </c>
      <c r="F148" s="34">
        <v>0</v>
      </c>
      <c r="G148" s="33">
        <v>57</v>
      </c>
      <c r="H148" s="35">
        <f t="shared" si="5"/>
        <v>1.8144183000000001E-2</v>
      </c>
      <c r="I148" s="36" t="s">
        <v>69</v>
      </c>
    </row>
    <row r="149" spans="1:9" x14ac:dyDescent="0.2">
      <c r="A149" s="33" t="s">
        <v>75</v>
      </c>
      <c r="B149" s="32" t="s">
        <v>76</v>
      </c>
      <c r="C149" s="33" t="s">
        <v>9</v>
      </c>
      <c r="D149" s="31">
        <v>60</v>
      </c>
      <c r="E149" s="33">
        <v>1</v>
      </c>
      <c r="F149" s="34">
        <v>0.15</v>
      </c>
      <c r="G149" s="33">
        <v>88</v>
      </c>
      <c r="H149" s="35">
        <f t="shared" si="5"/>
        <v>2.8012071999999999E-2</v>
      </c>
      <c r="I149" s="36" t="s">
        <v>69</v>
      </c>
    </row>
    <row r="150" spans="1:9" x14ac:dyDescent="0.2">
      <c r="A150" s="33" t="s">
        <v>75</v>
      </c>
      <c r="B150" s="32" t="s">
        <v>76</v>
      </c>
      <c r="C150" s="33" t="s">
        <v>9</v>
      </c>
      <c r="D150" s="31">
        <v>60</v>
      </c>
      <c r="E150" s="33">
        <v>2</v>
      </c>
      <c r="F150" s="34">
        <v>0.28999999999999998</v>
      </c>
      <c r="G150" s="33">
        <v>134</v>
      </c>
      <c r="H150" s="35">
        <f t="shared" si="5"/>
        <v>4.2654746000000007E-2</v>
      </c>
      <c r="I150" s="36" t="s">
        <v>69</v>
      </c>
    </row>
    <row r="151" spans="1:9" x14ac:dyDescent="0.2">
      <c r="A151" s="33" t="s">
        <v>75</v>
      </c>
      <c r="B151" s="32" t="s">
        <v>76</v>
      </c>
      <c r="C151" s="33" t="s">
        <v>9</v>
      </c>
      <c r="D151" s="31">
        <v>60</v>
      </c>
      <c r="E151" s="33">
        <v>3</v>
      </c>
      <c r="F151" s="34">
        <v>0.43</v>
      </c>
      <c r="G151" s="33">
        <v>225</v>
      </c>
      <c r="H151" s="35">
        <f t="shared" si="5"/>
        <v>7.1621775000000013E-2</v>
      </c>
      <c r="I151" s="36" t="s">
        <v>69</v>
      </c>
    </row>
    <row r="152" spans="1:9" x14ac:dyDescent="0.2">
      <c r="A152" s="33" t="s">
        <v>75</v>
      </c>
      <c r="B152" s="32" t="s">
        <v>76</v>
      </c>
      <c r="C152" s="33" t="s">
        <v>9</v>
      </c>
      <c r="D152" s="31">
        <v>60</v>
      </c>
      <c r="E152" s="33">
        <v>4</v>
      </c>
      <c r="F152" s="34">
        <v>0.56999999999999995</v>
      </c>
      <c r="G152" s="33">
        <v>319</v>
      </c>
      <c r="H152" s="35">
        <f t="shared" si="5"/>
        <v>0.10154376100000001</v>
      </c>
      <c r="I152" s="36" t="s">
        <v>69</v>
      </c>
    </row>
    <row r="153" spans="1:9" x14ac:dyDescent="0.2">
      <c r="A153" s="33" t="s">
        <v>75</v>
      </c>
      <c r="B153" s="32" t="s">
        <v>76</v>
      </c>
      <c r="C153" s="33" t="s">
        <v>19</v>
      </c>
      <c r="D153" s="31">
        <v>60</v>
      </c>
      <c r="E153" s="33">
        <v>5</v>
      </c>
      <c r="F153" s="34">
        <v>0.7</v>
      </c>
      <c r="G153" s="33">
        <v>446</v>
      </c>
      <c r="H153" s="35">
        <f t="shared" si="5"/>
        <v>0.14197027400000001</v>
      </c>
      <c r="I153" s="36" t="s">
        <v>69</v>
      </c>
    </row>
    <row r="154" spans="1:9" x14ac:dyDescent="0.2">
      <c r="A154" s="33" t="s">
        <v>75</v>
      </c>
      <c r="B154" s="32" t="s">
        <v>76</v>
      </c>
      <c r="C154" s="33" t="s">
        <v>19</v>
      </c>
      <c r="D154" s="31">
        <v>60</v>
      </c>
      <c r="E154" s="33">
        <v>7</v>
      </c>
      <c r="F154" s="34">
        <v>0.86</v>
      </c>
      <c r="G154" s="33">
        <v>648</v>
      </c>
      <c r="H154" s="35">
        <f t="shared" si="5"/>
        <v>0.20627071200000002</v>
      </c>
      <c r="I154" s="36" t="s">
        <v>69</v>
      </c>
    </row>
    <row r="155" spans="1:9" x14ac:dyDescent="0.2">
      <c r="A155" s="33" t="s">
        <v>75</v>
      </c>
      <c r="B155" s="32" t="s">
        <v>76</v>
      </c>
      <c r="C155" s="33" t="s">
        <v>19</v>
      </c>
      <c r="D155" s="31">
        <v>60</v>
      </c>
      <c r="E155" s="33">
        <v>10</v>
      </c>
      <c r="F155" s="34">
        <v>0.97</v>
      </c>
      <c r="G155" s="33">
        <v>708</v>
      </c>
      <c r="H155" s="35">
        <f t="shared" si="5"/>
        <v>0.22536985200000001</v>
      </c>
      <c r="I155" s="36" t="s">
        <v>69</v>
      </c>
    </row>
    <row r="156" spans="1:9" x14ac:dyDescent="0.2">
      <c r="A156" s="14" t="s">
        <v>73</v>
      </c>
      <c r="B156" s="13" t="s">
        <v>79</v>
      </c>
      <c r="C156" s="14" t="s">
        <v>9</v>
      </c>
      <c r="D156" s="12">
        <v>60</v>
      </c>
      <c r="E156" s="14">
        <v>0</v>
      </c>
      <c r="F156" s="15">
        <v>0</v>
      </c>
      <c r="G156" s="14">
        <v>-26</v>
      </c>
      <c r="H156" s="16">
        <f t="shared" si="5"/>
        <v>-8.276294E-3</v>
      </c>
      <c r="I156" s="17" t="s">
        <v>69</v>
      </c>
    </row>
    <row r="157" spans="1:9" x14ac:dyDescent="0.2">
      <c r="A157" s="14" t="s">
        <v>73</v>
      </c>
      <c r="B157" s="13" t="s">
        <v>79</v>
      </c>
      <c r="C157" s="14" t="s">
        <v>9</v>
      </c>
      <c r="D157" s="12">
        <v>60</v>
      </c>
      <c r="E157" s="14">
        <v>1</v>
      </c>
      <c r="F157" s="15">
        <v>0.15</v>
      </c>
      <c r="G157" s="14">
        <v>10</v>
      </c>
      <c r="H157" s="16">
        <f t="shared" si="5"/>
        <v>3.1831900000000002E-3</v>
      </c>
      <c r="I157" s="17" t="s">
        <v>69</v>
      </c>
    </row>
    <row r="158" spans="1:9" x14ac:dyDescent="0.2">
      <c r="A158" s="14" t="s">
        <v>73</v>
      </c>
      <c r="B158" s="13" t="s">
        <v>79</v>
      </c>
      <c r="C158" s="14" t="s">
        <v>9</v>
      </c>
      <c r="D158" s="12">
        <v>60</v>
      </c>
      <c r="E158" s="14">
        <v>2</v>
      </c>
      <c r="F158" s="15">
        <v>0.28999999999999998</v>
      </c>
      <c r="G158" s="14">
        <v>69</v>
      </c>
      <c r="H158" s="16">
        <f t="shared" si="5"/>
        <v>2.1964011000000002E-2</v>
      </c>
      <c r="I158" s="17" t="s">
        <v>69</v>
      </c>
    </row>
    <row r="159" spans="1:9" x14ac:dyDescent="0.2">
      <c r="A159" s="14" t="s">
        <v>73</v>
      </c>
      <c r="B159" s="13" t="s">
        <v>79</v>
      </c>
      <c r="C159" s="14" t="s">
        <v>9</v>
      </c>
      <c r="D159" s="12">
        <v>60</v>
      </c>
      <c r="E159" s="14">
        <v>3</v>
      </c>
      <c r="F159" s="15">
        <v>0.44</v>
      </c>
      <c r="G159" s="14">
        <v>236</v>
      </c>
      <c r="H159" s="16">
        <f t="shared" si="5"/>
        <v>7.5123283999999999E-2</v>
      </c>
      <c r="I159" s="17" t="s">
        <v>69</v>
      </c>
    </row>
    <row r="160" spans="1:9" x14ac:dyDescent="0.2">
      <c r="A160" s="14" t="s">
        <v>73</v>
      </c>
      <c r="B160" s="13" t="s">
        <v>79</v>
      </c>
      <c r="C160" s="14" t="s">
        <v>9</v>
      </c>
      <c r="D160" s="12">
        <v>60</v>
      </c>
      <c r="E160" s="14">
        <v>4</v>
      </c>
      <c r="F160" s="15">
        <v>0.56999999999999995</v>
      </c>
      <c r="G160" s="14">
        <v>394</v>
      </c>
      <c r="H160" s="16">
        <f t="shared" si="5"/>
        <v>0.125417686</v>
      </c>
      <c r="I160" s="17" t="s">
        <v>69</v>
      </c>
    </row>
    <row r="161" spans="1:9" x14ac:dyDescent="0.2">
      <c r="A161" s="14" t="s">
        <v>73</v>
      </c>
      <c r="B161" s="13" t="s">
        <v>79</v>
      </c>
      <c r="C161" s="14" t="s">
        <v>19</v>
      </c>
      <c r="D161" s="12">
        <v>60</v>
      </c>
      <c r="E161" s="14">
        <v>5</v>
      </c>
      <c r="F161" s="15">
        <v>0.7</v>
      </c>
      <c r="G161" s="14">
        <v>645</v>
      </c>
      <c r="H161" s="16">
        <f t="shared" si="5"/>
        <v>0.20531575500000002</v>
      </c>
      <c r="I161" s="17" t="s">
        <v>69</v>
      </c>
    </row>
    <row r="162" spans="1:9" x14ac:dyDescent="0.2">
      <c r="A162" s="14" t="s">
        <v>73</v>
      </c>
      <c r="B162" s="13" t="s">
        <v>79</v>
      </c>
      <c r="C162" s="14" t="s">
        <v>19</v>
      </c>
      <c r="D162" s="12">
        <v>60</v>
      </c>
      <c r="E162" s="14">
        <v>7</v>
      </c>
      <c r="F162" s="15">
        <v>0.87</v>
      </c>
      <c r="G162" s="14">
        <v>838</v>
      </c>
      <c r="H162" s="16">
        <f t="shared" si="5"/>
        <v>0.26675132200000001</v>
      </c>
      <c r="I162" s="17" t="s">
        <v>69</v>
      </c>
    </row>
    <row r="163" spans="1:9" x14ac:dyDescent="0.2">
      <c r="A163" s="14" t="s">
        <v>73</v>
      </c>
      <c r="B163" s="13" t="s">
        <v>79</v>
      </c>
      <c r="C163" s="14" t="s">
        <v>19</v>
      </c>
      <c r="D163" s="12">
        <v>60</v>
      </c>
      <c r="E163" s="14">
        <v>10</v>
      </c>
      <c r="F163" s="15">
        <v>0.97</v>
      </c>
      <c r="G163" s="14">
        <v>996</v>
      </c>
      <c r="H163" s="16">
        <f t="shared" si="5"/>
        <v>0.31704572400000003</v>
      </c>
      <c r="I163" s="17" t="s">
        <v>69</v>
      </c>
    </row>
    <row r="164" spans="1:9" x14ac:dyDescent="0.2">
      <c r="A164" s="6" t="s">
        <v>81</v>
      </c>
      <c r="B164" s="7" t="s">
        <v>80</v>
      </c>
      <c r="C164" s="8" t="s">
        <v>9</v>
      </c>
      <c r="D164" s="6">
        <v>60</v>
      </c>
      <c r="E164" s="8">
        <v>0</v>
      </c>
      <c r="F164" s="9">
        <v>0</v>
      </c>
      <c r="G164" s="8">
        <v>68</v>
      </c>
      <c r="H164" s="10">
        <f t="shared" si="5"/>
        <v>2.1645692000000001E-2</v>
      </c>
      <c r="I164" s="11" t="s">
        <v>84</v>
      </c>
    </row>
    <row r="165" spans="1:9" x14ac:dyDescent="0.2">
      <c r="A165" s="6" t="s">
        <v>81</v>
      </c>
      <c r="B165" s="7" t="s">
        <v>80</v>
      </c>
      <c r="C165" s="8" t="s">
        <v>9</v>
      </c>
      <c r="D165" s="6">
        <v>60</v>
      </c>
      <c r="E165" s="8">
        <v>1</v>
      </c>
      <c r="F165" s="9">
        <v>0.15</v>
      </c>
      <c r="G165" s="8">
        <v>88</v>
      </c>
      <c r="H165" s="10">
        <f t="shared" si="5"/>
        <v>2.8012071999999999E-2</v>
      </c>
      <c r="I165" s="11" t="s">
        <v>84</v>
      </c>
    </row>
    <row r="166" spans="1:9" x14ac:dyDescent="0.2">
      <c r="A166" s="6" t="s">
        <v>81</v>
      </c>
      <c r="B166" s="7" t="s">
        <v>80</v>
      </c>
      <c r="C166" s="8" t="s">
        <v>9</v>
      </c>
      <c r="D166" s="6">
        <v>60</v>
      </c>
      <c r="E166" s="8">
        <v>2</v>
      </c>
      <c r="F166" s="9">
        <v>0.3</v>
      </c>
      <c r="G166" s="8">
        <v>155</v>
      </c>
      <c r="H166" s="10">
        <f t="shared" si="5"/>
        <v>4.9339445000000003E-2</v>
      </c>
      <c r="I166" s="11" t="s">
        <v>84</v>
      </c>
    </row>
    <row r="167" spans="1:9" x14ac:dyDescent="0.2">
      <c r="A167" s="6" t="s">
        <v>81</v>
      </c>
      <c r="B167" s="7" t="s">
        <v>80</v>
      </c>
      <c r="C167" s="8" t="s">
        <v>9</v>
      </c>
      <c r="D167" s="6">
        <v>60</v>
      </c>
      <c r="E167" s="8">
        <v>3</v>
      </c>
      <c r="F167" s="9">
        <v>0.44</v>
      </c>
      <c r="G167" s="8">
        <v>259</v>
      </c>
      <c r="H167" s="10">
        <f t="shared" si="5"/>
        <v>8.244462100000001E-2</v>
      </c>
      <c r="I167" s="11" t="s">
        <v>84</v>
      </c>
    </row>
    <row r="168" spans="1:9" x14ac:dyDescent="0.2">
      <c r="A168" s="6" t="s">
        <v>81</v>
      </c>
      <c r="B168" s="7" t="s">
        <v>80</v>
      </c>
      <c r="C168" s="8" t="s">
        <v>9</v>
      </c>
      <c r="D168" s="6">
        <v>60</v>
      </c>
      <c r="E168" s="8">
        <v>4</v>
      </c>
      <c r="F168" s="9">
        <v>0.57999999999999996</v>
      </c>
      <c r="G168" s="8">
        <v>384</v>
      </c>
      <c r="H168" s="10">
        <f t="shared" si="5"/>
        <v>0.12223449600000001</v>
      </c>
      <c r="I168" s="11" t="s">
        <v>84</v>
      </c>
    </row>
    <row r="169" spans="1:9" x14ac:dyDescent="0.2">
      <c r="A169" s="6" t="s">
        <v>81</v>
      </c>
      <c r="B169" s="7" t="s">
        <v>80</v>
      </c>
      <c r="C169" s="8" t="s">
        <v>9</v>
      </c>
      <c r="D169" s="6">
        <v>60</v>
      </c>
      <c r="E169" s="8">
        <v>5</v>
      </c>
      <c r="F169" s="9">
        <v>0.7</v>
      </c>
      <c r="G169" s="8">
        <v>505</v>
      </c>
      <c r="H169" s="10">
        <f t="shared" si="5"/>
        <v>0.16075109500000001</v>
      </c>
      <c r="I169" s="11" t="s">
        <v>84</v>
      </c>
    </row>
    <row r="170" spans="1:9" x14ac:dyDescent="0.2">
      <c r="A170" s="6" t="s">
        <v>81</v>
      </c>
      <c r="B170" s="7" t="s">
        <v>80</v>
      </c>
      <c r="C170" s="8" t="s">
        <v>9</v>
      </c>
      <c r="D170" s="6">
        <v>60</v>
      </c>
      <c r="E170" s="8">
        <v>7</v>
      </c>
      <c r="F170" s="9">
        <v>0.87</v>
      </c>
      <c r="G170" s="8">
        <v>708</v>
      </c>
      <c r="H170" s="10">
        <f t="shared" si="5"/>
        <v>0.22536985200000001</v>
      </c>
      <c r="I170" s="11" t="s">
        <v>84</v>
      </c>
    </row>
    <row r="171" spans="1:9" x14ac:dyDescent="0.2">
      <c r="A171" s="6" t="s">
        <v>81</v>
      </c>
      <c r="B171" s="7" t="s">
        <v>80</v>
      </c>
      <c r="C171" s="8" t="s">
        <v>9</v>
      </c>
      <c r="D171" s="6">
        <v>60</v>
      </c>
      <c r="E171" s="8">
        <v>10</v>
      </c>
      <c r="F171" s="9">
        <v>0.98</v>
      </c>
      <c r="G171" s="8">
        <v>886</v>
      </c>
      <c r="H171" s="10">
        <f t="shared" si="5"/>
        <v>0.282030634</v>
      </c>
      <c r="I171" s="11" t="s">
        <v>84</v>
      </c>
    </row>
    <row r="172" spans="1:9" x14ac:dyDescent="0.2">
      <c r="A172" s="33" t="s">
        <v>86</v>
      </c>
      <c r="B172" s="32" t="s">
        <v>87</v>
      </c>
      <c r="C172" s="33" t="s">
        <v>9</v>
      </c>
      <c r="D172" s="31">
        <v>60</v>
      </c>
      <c r="E172" s="33">
        <v>0</v>
      </c>
      <c r="F172" s="34">
        <v>0</v>
      </c>
      <c r="G172" s="33">
        <v>-33</v>
      </c>
      <c r="H172" s="35">
        <f t="shared" si="5"/>
        <v>-1.0504527000000001E-2</v>
      </c>
      <c r="I172" s="36" t="s">
        <v>92</v>
      </c>
    </row>
    <row r="173" spans="1:9" x14ac:dyDescent="0.2">
      <c r="A173" s="33" t="s">
        <v>86</v>
      </c>
      <c r="B173" s="32" t="s">
        <v>87</v>
      </c>
      <c r="C173" s="33" t="s">
        <v>9</v>
      </c>
      <c r="D173" s="31">
        <v>60</v>
      </c>
      <c r="E173" s="33">
        <v>1</v>
      </c>
      <c r="F173" s="34">
        <v>0.15</v>
      </c>
      <c r="G173" s="33">
        <v>-2</v>
      </c>
      <c r="H173" s="35">
        <f t="shared" si="5"/>
        <v>-6.3663800000000003E-4</v>
      </c>
      <c r="I173" s="36" t="s">
        <v>92</v>
      </c>
    </row>
    <row r="174" spans="1:9" x14ac:dyDescent="0.2">
      <c r="A174" s="33" t="s">
        <v>86</v>
      </c>
      <c r="B174" s="32" t="s">
        <v>87</v>
      </c>
      <c r="C174" s="33" t="s">
        <v>9</v>
      </c>
      <c r="D174" s="31">
        <v>60</v>
      </c>
      <c r="E174" s="33">
        <v>2</v>
      </c>
      <c r="F174" s="34">
        <v>0.28999999999999998</v>
      </c>
      <c r="G174" s="33">
        <v>26</v>
      </c>
      <c r="H174" s="35">
        <f t="shared" si="5"/>
        <v>8.276294E-3</v>
      </c>
      <c r="I174" s="36" t="s">
        <v>92</v>
      </c>
    </row>
    <row r="175" spans="1:9" x14ac:dyDescent="0.2">
      <c r="A175" s="33" t="s">
        <v>86</v>
      </c>
      <c r="B175" s="32" t="s">
        <v>87</v>
      </c>
      <c r="C175" s="33" t="s">
        <v>9</v>
      </c>
      <c r="D175" s="31">
        <v>60</v>
      </c>
      <c r="E175" s="33">
        <v>3</v>
      </c>
      <c r="F175" s="34">
        <v>0.43</v>
      </c>
      <c r="G175" s="33">
        <v>86</v>
      </c>
      <c r="H175" s="35">
        <f t="shared" si="5"/>
        <v>2.7375434000000001E-2</v>
      </c>
      <c r="I175" s="36" t="s">
        <v>92</v>
      </c>
    </row>
    <row r="176" spans="1:9" x14ac:dyDescent="0.2">
      <c r="A176" s="33" t="s">
        <v>86</v>
      </c>
      <c r="B176" s="32" t="s">
        <v>87</v>
      </c>
      <c r="C176" s="33" t="s">
        <v>9</v>
      </c>
      <c r="D176" s="31">
        <v>60</v>
      </c>
      <c r="E176" s="33">
        <v>4</v>
      </c>
      <c r="F176" s="34">
        <v>0.56000000000000005</v>
      </c>
      <c r="G176" s="33">
        <v>188</v>
      </c>
      <c r="H176" s="35">
        <f t="shared" si="5"/>
        <v>5.9843972000000002E-2</v>
      </c>
      <c r="I176" s="36" t="s">
        <v>92</v>
      </c>
    </row>
    <row r="177" spans="1:9" x14ac:dyDescent="0.2">
      <c r="A177" s="33" t="s">
        <v>86</v>
      </c>
      <c r="B177" s="32" t="s">
        <v>87</v>
      </c>
      <c r="C177" s="33" t="s">
        <v>19</v>
      </c>
      <c r="D177" s="31">
        <v>60</v>
      </c>
      <c r="E177" s="33">
        <v>5</v>
      </c>
      <c r="F177" s="34">
        <v>0.69</v>
      </c>
      <c r="G177" s="33">
        <v>248</v>
      </c>
      <c r="H177" s="35">
        <f t="shared" si="5"/>
        <v>7.894311200000001E-2</v>
      </c>
      <c r="I177" s="36" t="s">
        <v>92</v>
      </c>
    </row>
    <row r="178" spans="1:9" x14ac:dyDescent="0.2">
      <c r="A178" s="33" t="s">
        <v>86</v>
      </c>
      <c r="B178" s="32" t="s">
        <v>87</v>
      </c>
      <c r="C178" s="33" t="s">
        <v>19</v>
      </c>
      <c r="D178" s="31">
        <v>60</v>
      </c>
      <c r="E178" s="33">
        <v>7</v>
      </c>
      <c r="F178" s="34">
        <v>0.85</v>
      </c>
      <c r="G178" s="33">
        <v>378</v>
      </c>
      <c r="H178" s="35">
        <f t="shared" si="5"/>
        <v>0.12032458200000001</v>
      </c>
      <c r="I178" s="36" t="s">
        <v>92</v>
      </c>
    </row>
    <row r="179" spans="1:9" x14ac:dyDescent="0.2">
      <c r="A179" s="33" t="s">
        <v>86</v>
      </c>
      <c r="B179" s="32" t="s">
        <v>87</v>
      </c>
      <c r="C179" s="33" t="s">
        <v>19</v>
      </c>
      <c r="D179" s="31">
        <v>60</v>
      </c>
      <c r="E179" s="33">
        <v>10</v>
      </c>
      <c r="F179" s="34">
        <v>0.96</v>
      </c>
      <c r="G179" s="33">
        <v>458</v>
      </c>
      <c r="H179" s="35">
        <f t="shared" si="5"/>
        <v>0.145790102</v>
      </c>
      <c r="I179" s="36" t="s">
        <v>92</v>
      </c>
    </row>
    <row r="180" spans="1:9" x14ac:dyDescent="0.2">
      <c r="A180" s="20" t="s">
        <v>82</v>
      </c>
      <c r="B180" s="19" t="s">
        <v>88</v>
      </c>
      <c r="C180" s="20" t="s">
        <v>9</v>
      </c>
      <c r="D180" s="18">
        <v>60</v>
      </c>
      <c r="E180" s="20">
        <v>0</v>
      </c>
      <c r="F180" s="21">
        <v>0</v>
      </c>
      <c r="G180" s="20">
        <v>-44</v>
      </c>
      <c r="H180" s="22">
        <f t="shared" si="5"/>
        <v>-1.4006035999999999E-2</v>
      </c>
      <c r="I180" s="23" t="s">
        <v>92</v>
      </c>
    </row>
    <row r="181" spans="1:9" x14ac:dyDescent="0.2">
      <c r="A181" s="20" t="s">
        <v>82</v>
      </c>
      <c r="B181" s="19" t="s">
        <v>88</v>
      </c>
      <c r="C181" s="20" t="s">
        <v>9</v>
      </c>
      <c r="D181" s="18">
        <v>60</v>
      </c>
      <c r="E181" s="20">
        <v>1</v>
      </c>
      <c r="F181" s="21">
        <v>0.15</v>
      </c>
      <c r="G181" s="20">
        <v>-32</v>
      </c>
      <c r="H181" s="22">
        <f t="shared" si="5"/>
        <v>-1.0186208E-2</v>
      </c>
      <c r="I181" s="23" t="s">
        <v>92</v>
      </c>
    </row>
    <row r="182" spans="1:9" x14ac:dyDescent="0.2">
      <c r="A182" s="20" t="s">
        <v>82</v>
      </c>
      <c r="B182" s="19" t="s">
        <v>88</v>
      </c>
      <c r="C182" s="20" t="s">
        <v>9</v>
      </c>
      <c r="D182" s="18">
        <v>60</v>
      </c>
      <c r="E182" s="20">
        <v>2</v>
      </c>
      <c r="F182" s="21">
        <v>0.28999999999999998</v>
      </c>
      <c r="G182" s="20">
        <v>56</v>
      </c>
      <c r="H182" s="22">
        <f t="shared" si="5"/>
        <v>1.7825864E-2</v>
      </c>
      <c r="I182" s="23" t="s">
        <v>92</v>
      </c>
    </row>
    <row r="183" spans="1:9" x14ac:dyDescent="0.2">
      <c r="A183" s="20" t="s">
        <v>82</v>
      </c>
      <c r="B183" s="19" t="s">
        <v>88</v>
      </c>
      <c r="C183" s="20" t="s">
        <v>9</v>
      </c>
      <c r="D183" s="18">
        <v>60</v>
      </c>
      <c r="E183" s="20">
        <v>3</v>
      </c>
      <c r="F183" s="21">
        <v>0.43</v>
      </c>
      <c r="G183" s="20">
        <v>117</v>
      </c>
      <c r="H183" s="22">
        <f t="shared" si="5"/>
        <v>3.7243323000000002E-2</v>
      </c>
      <c r="I183" s="23" t="s">
        <v>92</v>
      </c>
    </row>
    <row r="184" spans="1:9" x14ac:dyDescent="0.2">
      <c r="A184" s="20" t="s">
        <v>82</v>
      </c>
      <c r="B184" s="19" t="s">
        <v>88</v>
      </c>
      <c r="C184" s="20" t="s">
        <v>9</v>
      </c>
      <c r="D184" s="18">
        <v>60</v>
      </c>
      <c r="E184" s="20">
        <v>4</v>
      </c>
      <c r="F184" s="21">
        <v>0.56000000000000005</v>
      </c>
      <c r="G184" s="20">
        <v>216</v>
      </c>
      <c r="H184" s="22">
        <f t="shared" si="5"/>
        <v>6.8756904000000008E-2</v>
      </c>
      <c r="I184" s="23" t="s">
        <v>92</v>
      </c>
    </row>
    <row r="185" spans="1:9" x14ac:dyDescent="0.2">
      <c r="A185" s="20" t="s">
        <v>82</v>
      </c>
      <c r="B185" s="19" t="s">
        <v>88</v>
      </c>
      <c r="C185" s="20" t="s">
        <v>19</v>
      </c>
      <c r="D185" s="18">
        <v>60</v>
      </c>
      <c r="E185" s="20">
        <v>5</v>
      </c>
      <c r="F185" s="21">
        <v>0.69</v>
      </c>
      <c r="G185" s="20">
        <v>327</v>
      </c>
      <c r="H185" s="22">
        <f t="shared" si="5"/>
        <v>0.104090313</v>
      </c>
      <c r="I185" s="23" t="s">
        <v>92</v>
      </c>
    </row>
    <row r="186" spans="1:9" x14ac:dyDescent="0.2">
      <c r="A186" s="20" t="s">
        <v>82</v>
      </c>
      <c r="B186" s="19" t="s">
        <v>88</v>
      </c>
      <c r="C186" s="20" t="s">
        <v>19</v>
      </c>
      <c r="D186" s="18">
        <v>60</v>
      </c>
      <c r="E186" s="20">
        <v>7</v>
      </c>
      <c r="F186" s="21">
        <v>0.85</v>
      </c>
      <c r="G186" s="20">
        <v>447</v>
      </c>
      <c r="H186" s="22">
        <f t="shared" si="5"/>
        <v>0.14228859300000002</v>
      </c>
      <c r="I186" s="23" t="s">
        <v>92</v>
      </c>
    </row>
    <row r="187" spans="1:9" x14ac:dyDescent="0.2">
      <c r="A187" s="20" t="s">
        <v>82</v>
      </c>
      <c r="B187" s="19" t="s">
        <v>88</v>
      </c>
      <c r="C187" s="20" t="s">
        <v>19</v>
      </c>
      <c r="D187" s="18">
        <v>60</v>
      </c>
      <c r="E187" s="20">
        <v>10</v>
      </c>
      <c r="F187" s="21">
        <v>0.96</v>
      </c>
      <c r="G187" s="20">
        <v>609</v>
      </c>
      <c r="H187" s="22">
        <f t="shared" si="5"/>
        <v>0.193856271</v>
      </c>
      <c r="I187" s="23" t="s">
        <v>92</v>
      </c>
    </row>
    <row r="188" spans="1:9" x14ac:dyDescent="0.2">
      <c r="A188" s="12" t="s">
        <v>83</v>
      </c>
      <c r="B188" s="13" t="s">
        <v>90</v>
      </c>
      <c r="C188" s="14" t="s">
        <v>9</v>
      </c>
      <c r="D188" s="12">
        <v>60</v>
      </c>
      <c r="E188" s="14">
        <v>0</v>
      </c>
      <c r="F188" s="15">
        <v>0</v>
      </c>
      <c r="G188" s="14">
        <v>-2</v>
      </c>
      <c r="H188" s="16">
        <f t="shared" si="5"/>
        <v>-6.3663800000000003E-4</v>
      </c>
      <c r="I188" s="17" t="s">
        <v>92</v>
      </c>
    </row>
    <row r="189" spans="1:9" x14ac:dyDescent="0.2">
      <c r="A189" s="12" t="s">
        <v>83</v>
      </c>
      <c r="B189" s="13" t="s">
        <v>90</v>
      </c>
      <c r="C189" s="14" t="s">
        <v>9</v>
      </c>
      <c r="D189" s="12">
        <v>60</v>
      </c>
      <c r="E189" s="14">
        <v>1</v>
      </c>
      <c r="F189" s="15">
        <v>0.15</v>
      </c>
      <c r="G189" s="14">
        <v>17</v>
      </c>
      <c r="H189" s="16">
        <f t="shared" si="5"/>
        <v>5.4114230000000003E-3</v>
      </c>
      <c r="I189" s="17" t="s">
        <v>92</v>
      </c>
    </row>
    <row r="190" spans="1:9" x14ac:dyDescent="0.2">
      <c r="A190" s="12" t="s">
        <v>83</v>
      </c>
      <c r="B190" s="13" t="s">
        <v>90</v>
      </c>
      <c r="C190" s="14" t="s">
        <v>9</v>
      </c>
      <c r="D190" s="12">
        <v>60</v>
      </c>
      <c r="E190" s="14">
        <v>2</v>
      </c>
      <c r="F190" s="15">
        <v>0.28999999999999998</v>
      </c>
      <c r="G190" s="14">
        <v>86</v>
      </c>
      <c r="H190" s="16">
        <f t="shared" si="5"/>
        <v>2.7375434000000001E-2</v>
      </c>
      <c r="I190" s="17" t="s">
        <v>92</v>
      </c>
    </row>
    <row r="191" spans="1:9" x14ac:dyDescent="0.2">
      <c r="A191" s="12" t="s">
        <v>83</v>
      </c>
      <c r="B191" s="13" t="s">
        <v>90</v>
      </c>
      <c r="C191" s="14" t="s">
        <v>9</v>
      </c>
      <c r="D191" s="12">
        <v>60</v>
      </c>
      <c r="E191" s="14">
        <v>3</v>
      </c>
      <c r="F191" s="15">
        <v>0.43</v>
      </c>
      <c r="G191" s="14">
        <v>216</v>
      </c>
      <c r="H191" s="16">
        <f t="shared" si="5"/>
        <v>6.8756904000000008E-2</v>
      </c>
      <c r="I191" s="17" t="s">
        <v>92</v>
      </c>
    </row>
    <row r="192" spans="1:9" x14ac:dyDescent="0.2">
      <c r="A192" s="12" t="s">
        <v>83</v>
      </c>
      <c r="B192" s="13" t="s">
        <v>90</v>
      </c>
      <c r="C192" s="14" t="s">
        <v>9</v>
      </c>
      <c r="D192" s="12">
        <v>60</v>
      </c>
      <c r="E192" s="14">
        <v>4</v>
      </c>
      <c r="F192" s="15">
        <v>0.56999999999999995</v>
      </c>
      <c r="G192" s="14">
        <v>337</v>
      </c>
      <c r="H192" s="16">
        <f t="shared" si="5"/>
        <v>0.10727350300000002</v>
      </c>
      <c r="I192" s="17" t="s">
        <v>92</v>
      </c>
    </row>
    <row r="193" spans="1:9" x14ac:dyDescent="0.2">
      <c r="A193" s="12" t="s">
        <v>83</v>
      </c>
      <c r="B193" s="13" t="s">
        <v>90</v>
      </c>
      <c r="C193" s="14" t="s">
        <v>9</v>
      </c>
      <c r="D193" s="12">
        <v>60</v>
      </c>
      <c r="E193" s="14">
        <v>5</v>
      </c>
      <c r="F193" s="15">
        <v>0.7</v>
      </c>
      <c r="G193" s="14">
        <v>488</v>
      </c>
      <c r="H193" s="16">
        <f t="shared" si="5"/>
        <v>0.15533967200000001</v>
      </c>
      <c r="I193" s="17" t="s">
        <v>92</v>
      </c>
    </row>
    <row r="194" spans="1:9" x14ac:dyDescent="0.2">
      <c r="A194" s="12" t="s">
        <v>83</v>
      </c>
      <c r="B194" s="13" t="s">
        <v>90</v>
      </c>
      <c r="C194" s="14" t="s">
        <v>9</v>
      </c>
      <c r="D194" s="12">
        <v>60</v>
      </c>
      <c r="E194" s="14">
        <v>7</v>
      </c>
      <c r="F194" s="15">
        <v>0.86</v>
      </c>
      <c r="G194" s="14">
        <v>667</v>
      </c>
      <c r="H194" s="16">
        <f t="shared" si="5"/>
        <v>0.21231877300000002</v>
      </c>
      <c r="I194" s="17" t="s">
        <v>92</v>
      </c>
    </row>
    <row r="195" spans="1:9" x14ac:dyDescent="0.2">
      <c r="A195" s="12" t="s">
        <v>83</v>
      </c>
      <c r="B195" s="13" t="s">
        <v>90</v>
      </c>
      <c r="C195" s="14" t="s">
        <v>9</v>
      </c>
      <c r="D195" s="12">
        <v>60</v>
      </c>
      <c r="E195" s="14">
        <v>10</v>
      </c>
      <c r="F195" s="15">
        <v>0.97</v>
      </c>
      <c r="G195" s="14">
        <v>829</v>
      </c>
      <c r="H195" s="16">
        <f t="shared" si="5"/>
        <v>0.26388645100000002</v>
      </c>
      <c r="I195" s="17" t="s">
        <v>92</v>
      </c>
    </row>
    <row r="196" spans="1:9" x14ac:dyDescent="0.2">
      <c r="A196" s="6" t="s">
        <v>95</v>
      </c>
      <c r="B196" s="7" t="s">
        <v>93</v>
      </c>
      <c r="C196" s="8" t="s">
        <v>9</v>
      </c>
      <c r="D196" s="6">
        <v>60</v>
      </c>
      <c r="E196" s="8">
        <v>0</v>
      </c>
      <c r="F196" s="9">
        <v>0</v>
      </c>
      <c r="G196" s="8">
        <v>18</v>
      </c>
      <c r="H196" s="10">
        <f t="shared" ref="H196:H203" si="6">G196/1000*0.318319</f>
        <v>5.7297419999999995E-3</v>
      </c>
      <c r="I196" s="11" t="s">
        <v>96</v>
      </c>
    </row>
    <row r="197" spans="1:9" x14ac:dyDescent="0.2">
      <c r="A197" s="6" t="s">
        <v>95</v>
      </c>
      <c r="B197" s="7" t="s">
        <v>93</v>
      </c>
      <c r="C197" s="8" t="s">
        <v>9</v>
      </c>
      <c r="D197" s="6">
        <v>60</v>
      </c>
      <c r="E197" s="8">
        <v>1</v>
      </c>
      <c r="F197" s="9">
        <v>0.16</v>
      </c>
      <c r="G197" s="8">
        <v>34</v>
      </c>
      <c r="H197" s="10">
        <f t="shared" si="6"/>
        <v>1.0822846000000001E-2</v>
      </c>
      <c r="I197" s="11" t="s">
        <v>96</v>
      </c>
    </row>
    <row r="198" spans="1:9" x14ac:dyDescent="0.2">
      <c r="A198" s="6" t="s">
        <v>95</v>
      </c>
      <c r="B198" s="7" t="s">
        <v>93</v>
      </c>
      <c r="C198" s="8" t="s">
        <v>9</v>
      </c>
      <c r="D198" s="6">
        <v>60</v>
      </c>
      <c r="E198" s="8">
        <v>2</v>
      </c>
      <c r="F198" s="9">
        <v>0.31</v>
      </c>
      <c r="G198" s="8">
        <v>78</v>
      </c>
      <c r="H198" s="10">
        <f t="shared" si="6"/>
        <v>2.4828882E-2</v>
      </c>
      <c r="I198" s="11" t="s">
        <v>96</v>
      </c>
    </row>
    <row r="199" spans="1:9" x14ac:dyDescent="0.2">
      <c r="A199" s="6" t="s">
        <v>95</v>
      </c>
      <c r="B199" s="7" t="s">
        <v>93</v>
      </c>
      <c r="C199" s="8" t="s">
        <v>9</v>
      </c>
      <c r="D199" s="6">
        <v>60</v>
      </c>
      <c r="E199" s="8">
        <v>3</v>
      </c>
      <c r="F199" s="9">
        <v>0.45</v>
      </c>
      <c r="G199" s="8">
        <v>248</v>
      </c>
      <c r="H199" s="10">
        <f t="shared" si="6"/>
        <v>7.894311200000001E-2</v>
      </c>
      <c r="I199" s="11" t="s">
        <v>96</v>
      </c>
    </row>
    <row r="200" spans="1:9" x14ac:dyDescent="0.2">
      <c r="A200" s="6" t="s">
        <v>95</v>
      </c>
      <c r="B200" s="7" t="s">
        <v>93</v>
      </c>
      <c r="C200" s="8" t="s">
        <v>9</v>
      </c>
      <c r="D200" s="6">
        <v>60</v>
      </c>
      <c r="E200" s="8">
        <v>4</v>
      </c>
      <c r="F200" s="9">
        <v>0.59</v>
      </c>
      <c r="G200" s="8">
        <v>387</v>
      </c>
      <c r="H200" s="10">
        <f t="shared" si="6"/>
        <v>0.123189453</v>
      </c>
      <c r="I200" s="11" t="s">
        <v>96</v>
      </c>
    </row>
    <row r="201" spans="1:9" x14ac:dyDescent="0.2">
      <c r="A201" s="6" t="s">
        <v>95</v>
      </c>
      <c r="B201" s="7" t="s">
        <v>93</v>
      </c>
      <c r="C201" s="8" t="s">
        <v>9</v>
      </c>
      <c r="D201" s="6">
        <v>60</v>
      </c>
      <c r="E201" s="8">
        <v>5</v>
      </c>
      <c r="F201" s="9">
        <v>0.72</v>
      </c>
      <c r="G201" s="8">
        <v>537</v>
      </c>
      <c r="H201" s="10">
        <f t="shared" si="6"/>
        <v>0.17093730300000001</v>
      </c>
      <c r="I201" s="11" t="s">
        <v>96</v>
      </c>
    </row>
    <row r="202" spans="1:9" x14ac:dyDescent="0.2">
      <c r="A202" s="6" t="s">
        <v>95</v>
      </c>
      <c r="B202" s="7" t="s">
        <v>93</v>
      </c>
      <c r="C202" s="8" t="s">
        <v>9</v>
      </c>
      <c r="D202" s="6">
        <v>60</v>
      </c>
      <c r="E202" s="8">
        <v>7</v>
      </c>
      <c r="F202" s="9">
        <v>0.88</v>
      </c>
      <c r="G202" s="8">
        <v>680</v>
      </c>
      <c r="H202" s="10">
        <f t="shared" si="6"/>
        <v>0.21645692000000002</v>
      </c>
      <c r="I202" s="11" t="s">
        <v>96</v>
      </c>
    </row>
    <row r="203" spans="1:9" x14ac:dyDescent="0.2">
      <c r="A203" s="6" t="s">
        <v>95</v>
      </c>
      <c r="B203" s="7" t="s">
        <v>93</v>
      </c>
      <c r="C203" s="8" t="s">
        <v>9</v>
      </c>
      <c r="D203" s="6">
        <v>60</v>
      </c>
      <c r="E203" s="8">
        <v>10</v>
      </c>
      <c r="F203" s="9">
        <v>0.99</v>
      </c>
      <c r="G203" s="8">
        <v>889</v>
      </c>
      <c r="H203" s="10">
        <f t="shared" si="6"/>
        <v>0.28298559100000004</v>
      </c>
      <c r="I203" s="11" t="s">
        <v>96</v>
      </c>
    </row>
    <row r="204" spans="1:9" x14ac:dyDescent="0.2">
      <c r="A204" s="33" t="s">
        <v>97</v>
      </c>
      <c r="B204" s="32" t="s">
        <v>102</v>
      </c>
      <c r="C204" s="33" t="s">
        <v>9</v>
      </c>
      <c r="D204" s="31">
        <v>60</v>
      </c>
      <c r="E204" s="33">
        <v>0</v>
      </c>
      <c r="F204" s="34">
        <v>0</v>
      </c>
      <c r="G204" s="33">
        <v>18</v>
      </c>
      <c r="H204" s="35">
        <f t="shared" ref="H204:H234" si="7">G204/1000*0.318319</f>
        <v>5.7297419999999995E-3</v>
      </c>
      <c r="I204" s="36" t="s">
        <v>96</v>
      </c>
    </row>
    <row r="205" spans="1:9" x14ac:dyDescent="0.2">
      <c r="A205" s="33" t="s">
        <v>97</v>
      </c>
      <c r="B205" s="32" t="s">
        <v>102</v>
      </c>
      <c r="C205" s="33" t="s">
        <v>9</v>
      </c>
      <c r="D205" s="31">
        <v>60</v>
      </c>
      <c r="E205" s="33">
        <v>1</v>
      </c>
      <c r="F205" s="34">
        <v>0.15</v>
      </c>
      <c r="G205" s="33">
        <v>78</v>
      </c>
      <c r="H205" s="35">
        <f t="shared" si="7"/>
        <v>2.4828882E-2</v>
      </c>
      <c r="I205" s="36" t="s">
        <v>96</v>
      </c>
    </row>
    <row r="206" spans="1:9" x14ac:dyDescent="0.2">
      <c r="A206" s="33" t="s">
        <v>97</v>
      </c>
      <c r="B206" s="32" t="s">
        <v>102</v>
      </c>
      <c r="C206" s="33" t="s">
        <v>9</v>
      </c>
      <c r="D206" s="31">
        <v>60</v>
      </c>
      <c r="E206" s="33">
        <v>2</v>
      </c>
      <c r="F206" s="34">
        <v>0.3</v>
      </c>
      <c r="G206" s="33">
        <v>128</v>
      </c>
      <c r="H206" s="35">
        <f t="shared" si="7"/>
        <v>4.0744832000000002E-2</v>
      </c>
      <c r="I206" s="36" t="s">
        <v>96</v>
      </c>
    </row>
    <row r="207" spans="1:9" x14ac:dyDescent="0.2">
      <c r="A207" s="33" t="s">
        <v>97</v>
      </c>
      <c r="B207" s="32" t="s">
        <v>102</v>
      </c>
      <c r="C207" s="33" t="s">
        <v>9</v>
      </c>
      <c r="D207" s="31">
        <v>60</v>
      </c>
      <c r="E207" s="33">
        <v>3</v>
      </c>
      <c r="F207" s="34">
        <v>0.44</v>
      </c>
      <c r="G207" s="33">
        <v>187</v>
      </c>
      <c r="H207" s="35">
        <f t="shared" si="7"/>
        <v>5.9525653000000005E-2</v>
      </c>
      <c r="I207" s="36" t="s">
        <v>96</v>
      </c>
    </row>
    <row r="208" spans="1:9" x14ac:dyDescent="0.2">
      <c r="A208" s="33" t="s">
        <v>97</v>
      </c>
      <c r="B208" s="32" t="s">
        <v>102</v>
      </c>
      <c r="C208" s="33" t="s">
        <v>9</v>
      </c>
      <c r="D208" s="31">
        <v>60</v>
      </c>
      <c r="E208" s="33">
        <v>4</v>
      </c>
      <c r="F208" s="34">
        <v>0.57999999999999996</v>
      </c>
      <c r="G208" s="33">
        <v>238</v>
      </c>
      <c r="H208" s="35">
        <f t="shared" si="7"/>
        <v>7.5759922000000007E-2</v>
      </c>
      <c r="I208" s="36" t="s">
        <v>96</v>
      </c>
    </row>
    <row r="209" spans="1:9" x14ac:dyDescent="0.2">
      <c r="A209" s="33" t="s">
        <v>97</v>
      </c>
      <c r="B209" s="32" t="s">
        <v>102</v>
      </c>
      <c r="C209" s="33" t="s">
        <v>19</v>
      </c>
      <c r="D209" s="31">
        <v>60</v>
      </c>
      <c r="E209" s="33">
        <v>5</v>
      </c>
      <c r="F209" s="34">
        <v>0.71</v>
      </c>
      <c r="G209" s="33">
        <v>278</v>
      </c>
      <c r="H209" s="35">
        <f t="shared" si="7"/>
        <v>8.8492682000000017E-2</v>
      </c>
      <c r="I209" s="36" t="s">
        <v>96</v>
      </c>
    </row>
    <row r="210" spans="1:9" x14ac:dyDescent="0.2">
      <c r="A210" s="33" t="s">
        <v>97</v>
      </c>
      <c r="B210" s="32" t="s">
        <v>102</v>
      </c>
      <c r="C210" s="33" t="s">
        <v>19</v>
      </c>
      <c r="D210" s="31">
        <v>60</v>
      </c>
      <c r="E210" s="33">
        <v>10</v>
      </c>
      <c r="F210" s="34">
        <v>0.98</v>
      </c>
      <c r="G210" s="33">
        <v>407</v>
      </c>
      <c r="H210" s="35">
        <f t="shared" si="7"/>
        <v>0.12955583300000001</v>
      </c>
      <c r="I210" s="36" t="s">
        <v>96</v>
      </c>
    </row>
    <row r="211" spans="1:9" x14ac:dyDescent="0.2">
      <c r="A211" s="20" t="s">
        <v>98</v>
      </c>
      <c r="B211" s="19" t="s">
        <v>104</v>
      </c>
      <c r="C211" s="20" t="s">
        <v>9</v>
      </c>
      <c r="D211" s="18">
        <v>60</v>
      </c>
      <c r="E211" s="20">
        <v>0</v>
      </c>
      <c r="F211" s="21">
        <v>0</v>
      </c>
      <c r="G211" s="20">
        <v>0</v>
      </c>
      <c r="H211" s="22">
        <f t="shared" si="7"/>
        <v>0</v>
      </c>
      <c r="I211" s="23" t="s">
        <v>96</v>
      </c>
    </row>
    <row r="212" spans="1:9" x14ac:dyDescent="0.2">
      <c r="A212" s="20" t="s">
        <v>98</v>
      </c>
      <c r="B212" s="19" t="s">
        <v>104</v>
      </c>
      <c r="C212" s="20" t="s">
        <v>9</v>
      </c>
      <c r="D212" s="18">
        <v>60</v>
      </c>
      <c r="E212" s="20">
        <v>1</v>
      </c>
      <c r="F212" s="21">
        <v>0.16</v>
      </c>
      <c r="G212" s="20">
        <v>20</v>
      </c>
      <c r="H212" s="22">
        <f t="shared" si="7"/>
        <v>6.3663800000000005E-3</v>
      </c>
      <c r="I212" s="23" t="s">
        <v>96</v>
      </c>
    </row>
    <row r="213" spans="1:9" x14ac:dyDescent="0.2">
      <c r="A213" s="20" t="s">
        <v>98</v>
      </c>
      <c r="B213" s="19" t="s">
        <v>104</v>
      </c>
      <c r="C213" s="20" t="s">
        <v>9</v>
      </c>
      <c r="D213" s="18">
        <v>60</v>
      </c>
      <c r="E213" s="20">
        <v>2</v>
      </c>
      <c r="F213" s="21">
        <v>0.31</v>
      </c>
      <c r="G213" s="20">
        <v>139</v>
      </c>
      <c r="H213" s="22">
        <f t="shared" si="7"/>
        <v>4.4246341000000008E-2</v>
      </c>
      <c r="I213" s="23" t="s">
        <v>96</v>
      </c>
    </row>
    <row r="214" spans="1:9" x14ac:dyDescent="0.2">
      <c r="A214" s="20" t="s">
        <v>98</v>
      </c>
      <c r="B214" s="19" t="s">
        <v>104</v>
      </c>
      <c r="C214" s="20" t="s">
        <v>9</v>
      </c>
      <c r="D214" s="18">
        <v>60</v>
      </c>
      <c r="E214" s="20">
        <v>3</v>
      </c>
      <c r="F214" s="21">
        <v>0.45</v>
      </c>
      <c r="G214" s="20">
        <v>398</v>
      </c>
      <c r="H214" s="22">
        <f t="shared" si="7"/>
        <v>0.12669096200000002</v>
      </c>
      <c r="I214" s="23" t="s">
        <v>96</v>
      </c>
    </row>
    <row r="215" spans="1:9" x14ac:dyDescent="0.2">
      <c r="A215" s="20" t="s">
        <v>98</v>
      </c>
      <c r="B215" s="19" t="s">
        <v>104</v>
      </c>
      <c r="C215" s="20" t="s">
        <v>9</v>
      </c>
      <c r="D215" s="18">
        <v>60</v>
      </c>
      <c r="E215" s="20">
        <v>4</v>
      </c>
      <c r="F215" s="21">
        <v>0.59</v>
      </c>
      <c r="G215" s="20">
        <v>569</v>
      </c>
      <c r="H215" s="22">
        <f t="shared" si="7"/>
        <v>0.18112351099999999</v>
      </c>
      <c r="I215" s="23" t="s">
        <v>96</v>
      </c>
    </row>
    <row r="216" spans="1:9" x14ac:dyDescent="0.2">
      <c r="A216" s="20" t="s">
        <v>98</v>
      </c>
      <c r="B216" s="19" t="s">
        <v>104</v>
      </c>
      <c r="C216" s="20" t="s">
        <v>19</v>
      </c>
      <c r="D216" s="18">
        <v>60</v>
      </c>
      <c r="E216" s="20">
        <v>5</v>
      </c>
      <c r="F216" s="21">
        <v>0.72</v>
      </c>
      <c r="G216" s="20">
        <v>741</v>
      </c>
      <c r="H216" s="22">
        <f t="shared" si="7"/>
        <v>0.23587437900000002</v>
      </c>
      <c r="I216" s="23" t="s">
        <v>96</v>
      </c>
    </row>
    <row r="217" spans="1:9" x14ac:dyDescent="0.2">
      <c r="A217" s="20" t="s">
        <v>98</v>
      </c>
      <c r="B217" s="19" t="s">
        <v>104</v>
      </c>
      <c r="C217" s="20" t="s">
        <v>19</v>
      </c>
      <c r="D217" s="18">
        <v>60</v>
      </c>
      <c r="E217" s="20">
        <v>7</v>
      </c>
      <c r="F217" s="21">
        <v>0.88</v>
      </c>
      <c r="G217" s="20">
        <v>950</v>
      </c>
      <c r="H217" s="22">
        <f t="shared" si="7"/>
        <v>0.30240305000000001</v>
      </c>
      <c r="I217" s="23" t="s">
        <v>96</v>
      </c>
    </row>
    <row r="218" spans="1:9" x14ac:dyDescent="0.2">
      <c r="A218" s="20" t="s">
        <v>98</v>
      </c>
      <c r="B218" s="19" t="s">
        <v>104</v>
      </c>
      <c r="C218" s="20" t="s">
        <v>19</v>
      </c>
      <c r="D218" s="18">
        <v>60</v>
      </c>
      <c r="E218" s="20">
        <v>10</v>
      </c>
      <c r="F218" s="21">
        <v>0.99</v>
      </c>
      <c r="G218" s="20">
        <v>1111</v>
      </c>
      <c r="H218" s="22">
        <f t="shared" si="7"/>
        <v>0.353652409</v>
      </c>
      <c r="I218" s="23" t="s">
        <v>96</v>
      </c>
    </row>
    <row r="219" spans="1:9" x14ac:dyDescent="0.2">
      <c r="A219" s="12" t="s">
        <v>99</v>
      </c>
      <c r="B219" s="13" t="s">
        <v>106</v>
      </c>
      <c r="C219" s="14" t="s">
        <v>9</v>
      </c>
      <c r="D219" s="12">
        <v>60</v>
      </c>
      <c r="E219" s="14">
        <v>0</v>
      </c>
      <c r="F219" s="15">
        <v>0</v>
      </c>
      <c r="G219" s="14">
        <v>25</v>
      </c>
      <c r="H219" s="16">
        <f t="shared" si="7"/>
        <v>7.9579750000000008E-3</v>
      </c>
      <c r="I219" s="17" t="s">
        <v>96</v>
      </c>
    </row>
    <row r="220" spans="1:9" x14ac:dyDescent="0.2">
      <c r="A220" s="12" t="s">
        <v>99</v>
      </c>
      <c r="B220" s="13" t="s">
        <v>106</v>
      </c>
      <c r="C220" s="14" t="s">
        <v>9</v>
      </c>
      <c r="D220" s="12">
        <v>60</v>
      </c>
      <c r="E220" s="14">
        <v>1</v>
      </c>
      <c r="F220" s="15">
        <v>0.16</v>
      </c>
      <c r="G220" s="14">
        <v>77</v>
      </c>
      <c r="H220" s="16">
        <f t="shared" si="7"/>
        <v>2.4510563000000003E-2</v>
      </c>
      <c r="I220" s="17" t="s">
        <v>96</v>
      </c>
    </row>
    <row r="221" spans="1:9" x14ac:dyDescent="0.2">
      <c r="A221" s="12" t="s">
        <v>99</v>
      </c>
      <c r="B221" s="13" t="s">
        <v>106</v>
      </c>
      <c r="C221" s="14" t="s">
        <v>9</v>
      </c>
      <c r="D221" s="12">
        <v>60</v>
      </c>
      <c r="E221" s="14">
        <v>2</v>
      </c>
      <c r="F221" s="15">
        <v>0.31</v>
      </c>
      <c r="G221" s="14">
        <v>157</v>
      </c>
      <c r="H221" s="16">
        <f t="shared" si="7"/>
        <v>4.9976083000000004E-2</v>
      </c>
      <c r="I221" s="17" t="s">
        <v>96</v>
      </c>
    </row>
    <row r="222" spans="1:9" x14ac:dyDescent="0.2">
      <c r="A222" s="12" t="s">
        <v>99</v>
      </c>
      <c r="B222" s="13" t="s">
        <v>106</v>
      </c>
      <c r="C222" s="14" t="s">
        <v>9</v>
      </c>
      <c r="D222" s="12">
        <v>60</v>
      </c>
      <c r="E222" s="14">
        <v>3</v>
      </c>
      <c r="F222" s="15">
        <v>0.45</v>
      </c>
      <c r="G222" s="14">
        <v>318</v>
      </c>
      <c r="H222" s="16">
        <f t="shared" si="7"/>
        <v>0.10122544200000001</v>
      </c>
      <c r="I222" s="17" t="s">
        <v>96</v>
      </c>
    </row>
    <row r="223" spans="1:9" x14ac:dyDescent="0.2">
      <c r="A223" s="12" t="s">
        <v>99</v>
      </c>
      <c r="B223" s="13" t="s">
        <v>106</v>
      </c>
      <c r="C223" s="14" t="s">
        <v>9</v>
      </c>
      <c r="D223" s="12">
        <v>60</v>
      </c>
      <c r="E223" s="14">
        <v>4</v>
      </c>
      <c r="F223" s="15">
        <v>0.59</v>
      </c>
      <c r="G223" s="14">
        <v>428</v>
      </c>
      <c r="H223" s="16">
        <f t="shared" si="7"/>
        <v>0.136240532</v>
      </c>
      <c r="I223" s="17" t="s">
        <v>96</v>
      </c>
    </row>
    <row r="224" spans="1:9" x14ac:dyDescent="0.2">
      <c r="A224" s="12" t="s">
        <v>99</v>
      </c>
      <c r="B224" s="13" t="s">
        <v>106</v>
      </c>
      <c r="C224" s="14" t="s">
        <v>9</v>
      </c>
      <c r="D224" s="12">
        <v>60</v>
      </c>
      <c r="E224" s="14">
        <v>5</v>
      </c>
      <c r="F224" s="15">
        <v>0.72</v>
      </c>
      <c r="G224" s="14">
        <v>557</v>
      </c>
      <c r="H224" s="16">
        <f t="shared" si="7"/>
        <v>0.17730368300000002</v>
      </c>
      <c r="I224" s="17" t="s">
        <v>96</v>
      </c>
    </row>
    <row r="225" spans="1:9" x14ac:dyDescent="0.2">
      <c r="A225" s="12" t="s">
        <v>99</v>
      </c>
      <c r="B225" s="13" t="s">
        <v>106</v>
      </c>
      <c r="C225" s="14" t="s">
        <v>9</v>
      </c>
      <c r="D225" s="12">
        <v>60</v>
      </c>
      <c r="E225" s="14">
        <v>7</v>
      </c>
      <c r="F225" s="15">
        <v>0.89</v>
      </c>
      <c r="G225" s="14">
        <v>768</v>
      </c>
      <c r="H225" s="16">
        <f t="shared" si="7"/>
        <v>0.24446899200000002</v>
      </c>
      <c r="I225" s="17" t="s">
        <v>96</v>
      </c>
    </row>
    <row r="226" spans="1:9" x14ac:dyDescent="0.2">
      <c r="A226" s="12" t="s">
        <v>99</v>
      </c>
      <c r="B226" s="13" t="s">
        <v>106</v>
      </c>
      <c r="C226" s="14" t="s">
        <v>9</v>
      </c>
      <c r="D226" s="12">
        <v>60</v>
      </c>
      <c r="E226" s="14">
        <v>10</v>
      </c>
      <c r="F226" s="15">
        <v>0.99</v>
      </c>
      <c r="G226" s="14">
        <v>840</v>
      </c>
      <c r="H226" s="16">
        <f t="shared" si="7"/>
        <v>0.26738795999999998</v>
      </c>
      <c r="I226" s="17" t="s">
        <v>96</v>
      </c>
    </row>
    <row r="227" spans="1:9" x14ac:dyDescent="0.2">
      <c r="A227" s="6" t="s">
        <v>100</v>
      </c>
      <c r="B227" s="7" t="s">
        <v>108</v>
      </c>
      <c r="C227" s="8" t="s">
        <v>9</v>
      </c>
      <c r="D227" s="6">
        <v>60</v>
      </c>
      <c r="E227" s="8">
        <v>0</v>
      </c>
      <c r="F227" s="9">
        <v>0</v>
      </c>
      <c r="G227" s="8">
        <v>-12</v>
      </c>
      <c r="H227" s="10">
        <f t="shared" si="7"/>
        <v>-3.8198280000000004E-3</v>
      </c>
      <c r="I227" s="11" t="s">
        <v>110</v>
      </c>
    </row>
    <row r="228" spans="1:9" x14ac:dyDescent="0.2">
      <c r="A228" s="6" t="s">
        <v>100</v>
      </c>
      <c r="B228" s="7" t="s">
        <v>108</v>
      </c>
      <c r="C228" s="8" t="s">
        <v>9</v>
      </c>
      <c r="D228" s="6">
        <v>60</v>
      </c>
      <c r="E228" s="8">
        <v>1</v>
      </c>
      <c r="F228" s="9">
        <v>0.15</v>
      </c>
      <c r="G228" s="8">
        <v>8</v>
      </c>
      <c r="H228" s="10">
        <f t="shared" si="7"/>
        <v>2.5465520000000001E-3</v>
      </c>
      <c r="I228" s="11" t="s">
        <v>110</v>
      </c>
    </row>
    <row r="229" spans="1:9" x14ac:dyDescent="0.2">
      <c r="A229" s="6" t="s">
        <v>100</v>
      </c>
      <c r="B229" s="7" t="s">
        <v>108</v>
      </c>
      <c r="C229" s="8" t="s">
        <v>9</v>
      </c>
      <c r="D229" s="6">
        <v>60</v>
      </c>
      <c r="E229" s="8">
        <v>2</v>
      </c>
      <c r="F229" s="9">
        <v>0.3</v>
      </c>
      <c r="G229" s="8">
        <v>66</v>
      </c>
      <c r="H229" s="10">
        <f t="shared" si="7"/>
        <v>2.1009054000000003E-2</v>
      </c>
      <c r="I229" s="11" t="s">
        <v>110</v>
      </c>
    </row>
    <row r="230" spans="1:9" x14ac:dyDescent="0.2">
      <c r="A230" s="6" t="s">
        <v>100</v>
      </c>
      <c r="B230" s="7" t="s">
        <v>108</v>
      </c>
      <c r="C230" s="8" t="s">
        <v>9</v>
      </c>
      <c r="D230" s="6">
        <v>60</v>
      </c>
      <c r="E230" s="8">
        <v>3</v>
      </c>
      <c r="F230" s="9">
        <v>0.44</v>
      </c>
      <c r="G230" s="8">
        <v>216</v>
      </c>
      <c r="H230" s="10">
        <f t="shared" si="7"/>
        <v>6.8756904000000008E-2</v>
      </c>
      <c r="I230" s="11" t="s">
        <v>110</v>
      </c>
    </row>
    <row r="231" spans="1:9" x14ac:dyDescent="0.2">
      <c r="A231" s="6" t="s">
        <v>100</v>
      </c>
      <c r="B231" s="7" t="s">
        <v>108</v>
      </c>
      <c r="C231" s="8" t="s">
        <v>9</v>
      </c>
      <c r="D231" s="6">
        <v>60</v>
      </c>
      <c r="E231" s="8">
        <v>4</v>
      </c>
      <c r="F231" s="9">
        <v>0.57999999999999996</v>
      </c>
      <c r="G231" s="8">
        <v>396</v>
      </c>
      <c r="H231" s="10">
        <f t="shared" si="7"/>
        <v>0.12605432400000002</v>
      </c>
      <c r="I231" s="11" t="s">
        <v>110</v>
      </c>
    </row>
    <row r="232" spans="1:9" x14ac:dyDescent="0.2">
      <c r="A232" s="6" t="s">
        <v>100</v>
      </c>
      <c r="B232" s="7" t="s">
        <v>108</v>
      </c>
      <c r="C232" s="8" t="s">
        <v>9</v>
      </c>
      <c r="D232" s="6">
        <v>60</v>
      </c>
      <c r="E232" s="8">
        <v>5</v>
      </c>
      <c r="F232" s="9">
        <v>0.71</v>
      </c>
      <c r="G232" s="8">
        <v>527</v>
      </c>
      <c r="H232" s="10">
        <f t="shared" si="7"/>
        <v>0.16775411300000001</v>
      </c>
      <c r="I232" s="11" t="s">
        <v>110</v>
      </c>
    </row>
    <row r="233" spans="1:9" x14ac:dyDescent="0.2">
      <c r="A233" s="6" t="s">
        <v>100</v>
      </c>
      <c r="B233" s="7" t="s">
        <v>108</v>
      </c>
      <c r="C233" s="8" t="s">
        <v>9</v>
      </c>
      <c r="D233" s="6">
        <v>60</v>
      </c>
      <c r="E233" s="8">
        <v>7</v>
      </c>
      <c r="F233" s="9">
        <v>0.87</v>
      </c>
      <c r="G233" s="8">
        <v>626</v>
      </c>
      <c r="H233" s="10">
        <f t="shared" si="7"/>
        <v>0.19926769400000002</v>
      </c>
      <c r="I233" s="11" t="s">
        <v>110</v>
      </c>
    </row>
    <row r="234" spans="1:9" x14ac:dyDescent="0.2">
      <c r="A234" s="6" t="s">
        <v>100</v>
      </c>
      <c r="B234" s="7" t="s">
        <v>108</v>
      </c>
      <c r="C234" s="8" t="s">
        <v>9</v>
      </c>
      <c r="D234" s="6">
        <v>60</v>
      </c>
      <c r="E234" s="8">
        <v>10</v>
      </c>
      <c r="F234" s="9">
        <v>0.98</v>
      </c>
      <c r="G234" s="8">
        <v>750</v>
      </c>
      <c r="H234" s="10">
        <f t="shared" si="7"/>
        <v>0.23873925000000001</v>
      </c>
      <c r="I234" s="11" t="s">
        <v>110</v>
      </c>
    </row>
    <row r="235" spans="1:9" x14ac:dyDescent="0.2">
      <c r="A235" s="33" t="s">
        <v>101</v>
      </c>
      <c r="B235" s="32" t="s">
        <v>112</v>
      </c>
      <c r="C235" s="33" t="s">
        <v>9</v>
      </c>
      <c r="D235" s="31">
        <v>60</v>
      </c>
      <c r="E235" s="33">
        <v>0</v>
      </c>
      <c r="F235" s="34">
        <v>0</v>
      </c>
      <c r="G235" s="33">
        <v>57</v>
      </c>
      <c r="H235" s="35">
        <f t="shared" ref="H235:H265" si="8">G235/1000*0.318319</f>
        <v>1.8144183000000001E-2</v>
      </c>
      <c r="I235" s="36" t="s">
        <v>110</v>
      </c>
    </row>
    <row r="236" spans="1:9" x14ac:dyDescent="0.2">
      <c r="A236" s="33" t="s">
        <v>101</v>
      </c>
      <c r="B236" s="32" t="s">
        <v>112</v>
      </c>
      <c r="C236" s="33" t="s">
        <v>9</v>
      </c>
      <c r="D236" s="31">
        <v>60</v>
      </c>
      <c r="E236" s="33">
        <v>1</v>
      </c>
      <c r="F236" s="34">
        <v>0.15</v>
      </c>
      <c r="G236" s="33">
        <v>226</v>
      </c>
      <c r="H236" s="35">
        <f t="shared" si="8"/>
        <v>7.194009400000001E-2</v>
      </c>
      <c r="I236" s="36" t="s">
        <v>110</v>
      </c>
    </row>
    <row r="237" spans="1:9" x14ac:dyDescent="0.2">
      <c r="A237" s="33" t="s">
        <v>101</v>
      </c>
      <c r="B237" s="32" t="s">
        <v>112</v>
      </c>
      <c r="C237" s="33" t="s">
        <v>9</v>
      </c>
      <c r="D237" s="31">
        <v>60</v>
      </c>
      <c r="E237" s="33">
        <v>2</v>
      </c>
      <c r="F237" s="34">
        <v>0.3</v>
      </c>
      <c r="G237" s="33">
        <v>376</v>
      </c>
      <c r="H237" s="35">
        <f t="shared" si="8"/>
        <v>0.119687944</v>
      </c>
      <c r="I237" s="36" t="s">
        <v>110</v>
      </c>
    </row>
    <row r="238" spans="1:9" x14ac:dyDescent="0.2">
      <c r="A238" s="33" t="s">
        <v>101</v>
      </c>
      <c r="B238" s="32" t="s">
        <v>112</v>
      </c>
      <c r="C238" s="33" t="s">
        <v>9</v>
      </c>
      <c r="D238" s="31">
        <v>60</v>
      </c>
      <c r="E238" s="33">
        <v>3</v>
      </c>
      <c r="F238" s="34">
        <v>0.44</v>
      </c>
      <c r="G238" s="33">
        <v>477</v>
      </c>
      <c r="H238" s="35">
        <f t="shared" si="8"/>
        <v>0.151838163</v>
      </c>
      <c r="I238" s="36" t="s">
        <v>110</v>
      </c>
    </row>
    <row r="239" spans="1:9" x14ac:dyDescent="0.2">
      <c r="A239" s="33" t="s">
        <v>101</v>
      </c>
      <c r="B239" s="32" t="s">
        <v>112</v>
      </c>
      <c r="C239" s="33" t="s">
        <v>9</v>
      </c>
      <c r="D239" s="31">
        <v>60</v>
      </c>
      <c r="E239" s="33">
        <v>4</v>
      </c>
      <c r="F239" s="34">
        <v>0.56999999999999995</v>
      </c>
      <c r="G239" s="33">
        <v>587</v>
      </c>
      <c r="H239" s="35">
        <f t="shared" si="8"/>
        <v>0.186853253</v>
      </c>
      <c r="I239" s="36" t="s">
        <v>110</v>
      </c>
    </row>
    <row r="240" spans="1:9" x14ac:dyDescent="0.2">
      <c r="A240" s="33" t="s">
        <v>101</v>
      </c>
      <c r="B240" s="32" t="s">
        <v>112</v>
      </c>
      <c r="C240" s="33" t="s">
        <v>19</v>
      </c>
      <c r="D240" s="31">
        <v>60</v>
      </c>
      <c r="E240" s="33">
        <v>5</v>
      </c>
      <c r="F240" s="34">
        <v>0.7</v>
      </c>
      <c r="G240" s="33">
        <v>720</v>
      </c>
      <c r="H240" s="35">
        <f t="shared" si="8"/>
        <v>0.22918968000000001</v>
      </c>
      <c r="I240" s="36" t="s">
        <v>110</v>
      </c>
    </row>
    <row r="241" spans="1:9" x14ac:dyDescent="0.2">
      <c r="A241" s="33" t="s">
        <v>101</v>
      </c>
      <c r="B241" s="32" t="s">
        <v>112</v>
      </c>
      <c r="C241" s="33" t="s">
        <v>19</v>
      </c>
      <c r="D241" s="31">
        <v>60</v>
      </c>
      <c r="E241" s="33">
        <v>7</v>
      </c>
      <c r="F241" s="34">
        <v>0.88</v>
      </c>
      <c r="G241" s="33">
        <v>898</v>
      </c>
      <c r="H241" s="35">
        <f t="shared" ref="H241" si="9">G241/1000*0.318319</f>
        <v>0.28585046200000003</v>
      </c>
      <c r="I241" s="36" t="s">
        <v>110</v>
      </c>
    </row>
    <row r="242" spans="1:9" x14ac:dyDescent="0.2">
      <c r="A242" s="33" t="s">
        <v>101</v>
      </c>
      <c r="B242" s="32" t="s">
        <v>112</v>
      </c>
      <c r="C242" s="33" t="s">
        <v>19</v>
      </c>
      <c r="D242" s="31">
        <v>60</v>
      </c>
      <c r="E242" s="33">
        <v>10</v>
      </c>
      <c r="F242" s="34">
        <v>0.98</v>
      </c>
      <c r="G242" s="33">
        <v>988</v>
      </c>
      <c r="H242" s="35">
        <f t="shared" si="8"/>
        <v>0.31449917199999999</v>
      </c>
      <c r="I242" s="36" t="s">
        <v>110</v>
      </c>
    </row>
    <row r="243" spans="1:9" x14ac:dyDescent="0.2">
      <c r="A243" s="20" t="s">
        <v>115</v>
      </c>
      <c r="B243" s="19" t="s">
        <v>114</v>
      </c>
      <c r="C243" s="20" t="s">
        <v>9</v>
      </c>
      <c r="D243" s="18">
        <v>60</v>
      </c>
      <c r="E243" s="20">
        <v>0</v>
      </c>
      <c r="F243" s="21">
        <v>0</v>
      </c>
      <c r="G243" s="20">
        <v>18</v>
      </c>
      <c r="H243" s="22">
        <f t="shared" si="8"/>
        <v>5.7297419999999995E-3</v>
      </c>
      <c r="I243" s="23" t="s">
        <v>110</v>
      </c>
    </row>
    <row r="244" spans="1:9" x14ac:dyDescent="0.2">
      <c r="A244" s="20" t="s">
        <v>115</v>
      </c>
      <c r="B244" s="19" t="s">
        <v>114</v>
      </c>
      <c r="C244" s="20" t="s">
        <v>9</v>
      </c>
      <c r="D244" s="18">
        <v>60</v>
      </c>
      <c r="E244" s="20">
        <v>1</v>
      </c>
      <c r="F244" s="21">
        <v>0.15</v>
      </c>
      <c r="G244" s="20">
        <v>36</v>
      </c>
      <c r="H244" s="22">
        <f t="shared" si="8"/>
        <v>1.1459483999999999E-2</v>
      </c>
      <c r="I244" s="23" t="s">
        <v>110</v>
      </c>
    </row>
    <row r="245" spans="1:9" x14ac:dyDescent="0.2">
      <c r="A245" s="20" t="s">
        <v>115</v>
      </c>
      <c r="B245" s="19" t="s">
        <v>114</v>
      </c>
      <c r="C245" s="20" t="s">
        <v>9</v>
      </c>
      <c r="D245" s="18">
        <v>60</v>
      </c>
      <c r="E245" s="20">
        <v>2</v>
      </c>
      <c r="F245" s="21">
        <v>0.3</v>
      </c>
      <c r="G245" s="20">
        <v>247</v>
      </c>
      <c r="H245" s="22">
        <f t="shared" si="8"/>
        <v>7.8624792999999998E-2</v>
      </c>
      <c r="I245" s="23" t="s">
        <v>110</v>
      </c>
    </row>
    <row r="246" spans="1:9" x14ac:dyDescent="0.2">
      <c r="A246" s="20" t="s">
        <v>115</v>
      </c>
      <c r="B246" s="19" t="s">
        <v>114</v>
      </c>
      <c r="C246" s="20" t="s">
        <v>9</v>
      </c>
      <c r="D246" s="18">
        <v>60</v>
      </c>
      <c r="E246" s="20">
        <v>3</v>
      </c>
      <c r="F246" s="21">
        <v>0.44</v>
      </c>
      <c r="G246" s="20">
        <v>436</v>
      </c>
      <c r="H246" s="22">
        <f t="shared" si="8"/>
        <v>0.13878708400000001</v>
      </c>
      <c r="I246" s="23" t="s">
        <v>110</v>
      </c>
    </row>
    <row r="247" spans="1:9" x14ac:dyDescent="0.2">
      <c r="A247" s="20" t="s">
        <v>115</v>
      </c>
      <c r="B247" s="19" t="s">
        <v>114</v>
      </c>
      <c r="C247" s="20" t="s">
        <v>9</v>
      </c>
      <c r="D247" s="18">
        <v>60</v>
      </c>
      <c r="E247" s="20">
        <v>4</v>
      </c>
      <c r="F247" s="21">
        <v>0.57999999999999996</v>
      </c>
      <c r="G247" s="20">
        <v>678</v>
      </c>
      <c r="H247" s="22">
        <f t="shared" si="8"/>
        <v>0.21582028200000003</v>
      </c>
      <c r="I247" s="23" t="s">
        <v>110</v>
      </c>
    </row>
    <row r="248" spans="1:9" x14ac:dyDescent="0.2">
      <c r="A248" s="20" t="s">
        <v>115</v>
      </c>
      <c r="B248" s="19" t="s">
        <v>114</v>
      </c>
      <c r="C248" s="20" t="s">
        <v>19</v>
      </c>
      <c r="D248" s="18">
        <v>60</v>
      </c>
      <c r="E248" s="20">
        <v>5</v>
      </c>
      <c r="F248" s="21">
        <v>0.7</v>
      </c>
      <c r="G248" s="20">
        <v>839</v>
      </c>
      <c r="H248" s="22">
        <f t="shared" si="8"/>
        <v>0.26706964100000002</v>
      </c>
      <c r="I248" s="23" t="s">
        <v>110</v>
      </c>
    </row>
    <row r="249" spans="1:9" x14ac:dyDescent="0.2">
      <c r="A249" s="20" t="s">
        <v>115</v>
      </c>
      <c r="B249" s="19" t="s">
        <v>114</v>
      </c>
      <c r="C249" s="20" t="s">
        <v>19</v>
      </c>
      <c r="D249" s="18">
        <v>60</v>
      </c>
      <c r="E249" s="20">
        <v>7</v>
      </c>
      <c r="F249" s="21">
        <v>0.87</v>
      </c>
      <c r="G249" s="20">
        <v>1090</v>
      </c>
      <c r="H249" s="22">
        <f t="shared" si="8"/>
        <v>0.34696771000000004</v>
      </c>
      <c r="I249" s="23" t="s">
        <v>110</v>
      </c>
    </row>
    <row r="250" spans="1:9" x14ac:dyDescent="0.2">
      <c r="A250" s="20" t="s">
        <v>115</v>
      </c>
      <c r="B250" s="19" t="s">
        <v>114</v>
      </c>
      <c r="C250" s="20" t="s">
        <v>19</v>
      </c>
      <c r="D250" s="18">
        <v>60</v>
      </c>
      <c r="E250" s="20">
        <v>10</v>
      </c>
      <c r="F250" s="21">
        <v>0.98</v>
      </c>
      <c r="G250" s="20">
        <v>1270</v>
      </c>
      <c r="H250" s="22">
        <f t="shared" si="8"/>
        <v>0.40426513000000003</v>
      </c>
      <c r="I250" s="23" t="s">
        <v>110</v>
      </c>
    </row>
    <row r="251" spans="1:9" x14ac:dyDescent="0.2">
      <c r="A251" s="12" t="s">
        <v>117</v>
      </c>
      <c r="B251" s="13" t="s">
        <v>122</v>
      </c>
      <c r="C251" s="14" t="s">
        <v>9</v>
      </c>
      <c r="D251" s="12">
        <v>60</v>
      </c>
      <c r="E251" s="14">
        <v>0</v>
      </c>
      <c r="F251" s="15">
        <v>0</v>
      </c>
      <c r="G251" s="14">
        <v>0</v>
      </c>
      <c r="H251" s="16">
        <f t="shared" si="8"/>
        <v>0</v>
      </c>
      <c r="I251" s="17" t="s">
        <v>110</v>
      </c>
    </row>
    <row r="252" spans="1:9" x14ac:dyDescent="0.2">
      <c r="A252" s="12" t="s">
        <v>117</v>
      </c>
      <c r="B252" s="13" t="s">
        <v>122</v>
      </c>
      <c r="C252" s="14" t="s">
        <v>9</v>
      </c>
      <c r="D252" s="12">
        <v>60</v>
      </c>
      <c r="E252" s="14">
        <v>1</v>
      </c>
      <c r="F252" s="15">
        <v>0.15</v>
      </c>
      <c r="G252" s="14">
        <v>18</v>
      </c>
      <c r="H252" s="16">
        <f t="shared" si="8"/>
        <v>5.7297419999999995E-3</v>
      </c>
      <c r="I252" s="17" t="s">
        <v>110</v>
      </c>
    </row>
    <row r="253" spans="1:9" x14ac:dyDescent="0.2">
      <c r="A253" s="12" t="s">
        <v>117</v>
      </c>
      <c r="B253" s="13" t="s">
        <v>122</v>
      </c>
      <c r="C253" s="14" t="s">
        <v>9</v>
      </c>
      <c r="D253" s="12">
        <v>60</v>
      </c>
      <c r="E253" s="14">
        <v>2</v>
      </c>
      <c r="F253" s="15">
        <v>0.28999999999999998</v>
      </c>
      <c r="G253" s="14">
        <v>87</v>
      </c>
      <c r="H253" s="16">
        <f t="shared" si="8"/>
        <v>2.7693752999999998E-2</v>
      </c>
      <c r="I253" s="17" t="s">
        <v>110</v>
      </c>
    </row>
    <row r="254" spans="1:9" x14ac:dyDescent="0.2">
      <c r="A254" s="12" t="s">
        <v>117</v>
      </c>
      <c r="B254" s="13" t="s">
        <v>122</v>
      </c>
      <c r="C254" s="14" t="s">
        <v>9</v>
      </c>
      <c r="D254" s="12">
        <v>60</v>
      </c>
      <c r="E254" s="14">
        <v>3</v>
      </c>
      <c r="F254" s="15">
        <v>0.43</v>
      </c>
      <c r="G254" s="14">
        <v>146</v>
      </c>
      <c r="H254" s="16">
        <f t="shared" si="8"/>
        <v>4.6474573999999998E-2</v>
      </c>
      <c r="I254" s="17" t="s">
        <v>110</v>
      </c>
    </row>
    <row r="255" spans="1:9" x14ac:dyDescent="0.2">
      <c r="A255" s="12" t="s">
        <v>117</v>
      </c>
      <c r="B255" s="13" t="s">
        <v>122</v>
      </c>
      <c r="C255" s="14" t="s">
        <v>9</v>
      </c>
      <c r="D255" s="12">
        <v>60</v>
      </c>
      <c r="E255" s="14">
        <v>4</v>
      </c>
      <c r="F255" s="15">
        <v>0.56999999999999995</v>
      </c>
      <c r="G255" s="14">
        <v>237</v>
      </c>
      <c r="H255" s="16">
        <f t="shared" si="8"/>
        <v>7.5441602999999996E-2</v>
      </c>
      <c r="I255" s="17" t="s">
        <v>110</v>
      </c>
    </row>
    <row r="256" spans="1:9" x14ac:dyDescent="0.2">
      <c r="A256" s="12" t="s">
        <v>117</v>
      </c>
      <c r="B256" s="13" t="s">
        <v>122</v>
      </c>
      <c r="C256" s="14" t="s">
        <v>9</v>
      </c>
      <c r="D256" s="12">
        <v>60</v>
      </c>
      <c r="E256" s="14">
        <v>5</v>
      </c>
      <c r="F256" s="15">
        <v>0.69</v>
      </c>
      <c r="G256" s="14">
        <v>337</v>
      </c>
      <c r="H256" s="16">
        <f t="shared" si="8"/>
        <v>0.10727350300000002</v>
      </c>
      <c r="I256" s="17" t="s">
        <v>110</v>
      </c>
    </row>
    <row r="257" spans="1:9" x14ac:dyDescent="0.2">
      <c r="A257" s="12" t="s">
        <v>117</v>
      </c>
      <c r="B257" s="13" t="s">
        <v>122</v>
      </c>
      <c r="C257" s="14" t="s">
        <v>9</v>
      </c>
      <c r="D257" s="12">
        <v>60</v>
      </c>
      <c r="E257" s="14">
        <v>7</v>
      </c>
      <c r="F257" s="15">
        <v>0.85</v>
      </c>
      <c r="G257" s="14">
        <v>457</v>
      </c>
      <c r="H257" s="16">
        <f t="shared" si="8"/>
        <v>0.14547178300000002</v>
      </c>
      <c r="I257" s="17" t="s">
        <v>110</v>
      </c>
    </row>
    <row r="258" spans="1:9" x14ac:dyDescent="0.2">
      <c r="A258" s="12" t="s">
        <v>117</v>
      </c>
      <c r="B258" s="13" t="s">
        <v>122</v>
      </c>
      <c r="C258" s="14" t="s">
        <v>9</v>
      </c>
      <c r="D258" s="12">
        <v>60</v>
      </c>
      <c r="E258" s="14">
        <v>10</v>
      </c>
      <c r="F258" s="15">
        <v>0.96</v>
      </c>
      <c r="G258" s="14">
        <v>526</v>
      </c>
      <c r="H258" s="16">
        <f t="shared" si="8"/>
        <v>0.16743579400000003</v>
      </c>
      <c r="I258" s="17" t="s">
        <v>110</v>
      </c>
    </row>
    <row r="259" spans="1:9" x14ac:dyDescent="0.2">
      <c r="A259" s="6" t="s">
        <v>118</v>
      </c>
      <c r="B259" s="7" t="s">
        <v>123</v>
      </c>
      <c r="C259" s="8" t="s">
        <v>9</v>
      </c>
      <c r="D259" s="6">
        <v>60</v>
      </c>
      <c r="E259" s="8">
        <v>0</v>
      </c>
      <c r="F259" s="9">
        <v>0</v>
      </c>
      <c r="G259" s="8">
        <v>17</v>
      </c>
      <c r="H259" s="10">
        <f t="shared" si="8"/>
        <v>5.4114230000000003E-3</v>
      </c>
      <c r="I259" s="11" t="s">
        <v>110</v>
      </c>
    </row>
    <row r="260" spans="1:9" x14ac:dyDescent="0.2">
      <c r="A260" s="6" t="s">
        <v>118</v>
      </c>
      <c r="B260" s="7" t="s">
        <v>123</v>
      </c>
      <c r="C260" s="8" t="s">
        <v>9</v>
      </c>
      <c r="D260" s="6">
        <v>60</v>
      </c>
      <c r="E260" s="8">
        <v>2</v>
      </c>
      <c r="F260" s="9">
        <v>0.28999999999999998</v>
      </c>
      <c r="G260" s="8">
        <v>107</v>
      </c>
      <c r="H260" s="10">
        <f t="shared" si="8"/>
        <v>3.4060132999999999E-2</v>
      </c>
      <c r="I260" s="11" t="s">
        <v>110</v>
      </c>
    </row>
    <row r="261" spans="1:9" x14ac:dyDescent="0.2">
      <c r="A261" s="6" t="s">
        <v>118</v>
      </c>
      <c r="B261" s="7" t="s">
        <v>123</v>
      </c>
      <c r="C261" s="8" t="s">
        <v>9</v>
      </c>
      <c r="D261" s="6">
        <v>60</v>
      </c>
      <c r="E261" s="8">
        <v>3</v>
      </c>
      <c r="F261" s="9">
        <v>0.43</v>
      </c>
      <c r="G261" s="8">
        <v>187</v>
      </c>
      <c r="H261" s="10">
        <f t="shared" si="8"/>
        <v>5.9525653000000005E-2</v>
      </c>
      <c r="I261" s="11" t="s">
        <v>110</v>
      </c>
    </row>
    <row r="262" spans="1:9" x14ac:dyDescent="0.2">
      <c r="A262" s="6" t="s">
        <v>118</v>
      </c>
      <c r="B262" s="7" t="s">
        <v>123</v>
      </c>
      <c r="C262" s="8" t="s">
        <v>9</v>
      </c>
      <c r="D262" s="6">
        <v>60</v>
      </c>
      <c r="E262" s="8">
        <v>4</v>
      </c>
      <c r="F262" s="9">
        <v>0.56999999999999995</v>
      </c>
      <c r="G262" s="8">
        <v>266</v>
      </c>
      <c r="H262" s="10">
        <f t="shared" si="8"/>
        <v>8.4672854000000006E-2</v>
      </c>
      <c r="I262" s="11" t="s">
        <v>110</v>
      </c>
    </row>
    <row r="263" spans="1:9" x14ac:dyDescent="0.2">
      <c r="A263" s="6" t="s">
        <v>118</v>
      </c>
      <c r="B263" s="7" t="s">
        <v>123</v>
      </c>
      <c r="C263" s="8" t="s">
        <v>9</v>
      </c>
      <c r="D263" s="6">
        <v>60</v>
      </c>
      <c r="E263" s="8">
        <v>5</v>
      </c>
      <c r="F263" s="9">
        <v>0.69</v>
      </c>
      <c r="G263" s="8">
        <v>367</v>
      </c>
      <c r="H263" s="10">
        <f t="shared" si="8"/>
        <v>0.116823073</v>
      </c>
      <c r="I263" s="11" t="s">
        <v>110</v>
      </c>
    </row>
    <row r="264" spans="1:9" x14ac:dyDescent="0.2">
      <c r="A264" s="6" t="s">
        <v>118</v>
      </c>
      <c r="B264" s="7" t="s">
        <v>123</v>
      </c>
      <c r="C264" s="8" t="s">
        <v>9</v>
      </c>
      <c r="D264" s="6">
        <v>60</v>
      </c>
      <c r="E264" s="8">
        <v>7</v>
      </c>
      <c r="F264" s="9">
        <v>0.85</v>
      </c>
      <c r="G264" s="8">
        <v>479</v>
      </c>
      <c r="H264" s="10">
        <f t="shared" si="8"/>
        <v>0.15247480099999999</v>
      </c>
      <c r="I264" s="11" t="s">
        <v>110</v>
      </c>
    </row>
    <row r="265" spans="1:9" x14ac:dyDescent="0.2">
      <c r="A265" s="6" t="s">
        <v>118</v>
      </c>
      <c r="B265" s="7" t="s">
        <v>123</v>
      </c>
      <c r="C265" s="8" t="s">
        <v>9</v>
      </c>
      <c r="D265" s="6">
        <v>60</v>
      </c>
      <c r="E265" s="8">
        <v>10</v>
      </c>
      <c r="F265" s="9">
        <v>0.95</v>
      </c>
      <c r="G265" s="8">
        <v>527</v>
      </c>
      <c r="H265" s="10">
        <f t="shared" si="8"/>
        <v>0.16775411300000001</v>
      </c>
      <c r="I265" s="11" t="s">
        <v>110</v>
      </c>
    </row>
    <row r="266" spans="1:9" x14ac:dyDescent="0.2">
      <c r="A266" s="33" t="s">
        <v>119</v>
      </c>
      <c r="B266" s="32" t="s">
        <v>125</v>
      </c>
      <c r="C266" s="33" t="s">
        <v>9</v>
      </c>
      <c r="D266" s="31">
        <v>60</v>
      </c>
      <c r="E266" s="33">
        <v>0</v>
      </c>
      <c r="F266" s="34">
        <v>0</v>
      </c>
      <c r="G266" s="33">
        <v>8</v>
      </c>
      <c r="H266" s="35">
        <f t="shared" ref="H266:H305" si="10">G266/1000*0.318319</f>
        <v>2.5465520000000001E-3</v>
      </c>
      <c r="I266" s="36" t="s">
        <v>110</v>
      </c>
    </row>
    <row r="267" spans="1:9" x14ac:dyDescent="0.2">
      <c r="A267" s="33" t="s">
        <v>119</v>
      </c>
      <c r="B267" s="32" t="s">
        <v>125</v>
      </c>
      <c r="C267" s="33" t="s">
        <v>9</v>
      </c>
      <c r="D267" s="31">
        <v>60</v>
      </c>
      <c r="E267" s="33">
        <v>1</v>
      </c>
      <c r="F267" s="34">
        <v>0.16</v>
      </c>
      <c r="G267" s="33">
        <v>20</v>
      </c>
      <c r="H267" s="35">
        <f t="shared" si="10"/>
        <v>6.3663800000000005E-3</v>
      </c>
      <c r="I267" s="36" t="s">
        <v>110</v>
      </c>
    </row>
    <row r="268" spans="1:9" x14ac:dyDescent="0.2">
      <c r="A268" s="33" t="s">
        <v>119</v>
      </c>
      <c r="B268" s="32" t="s">
        <v>125</v>
      </c>
      <c r="C268" s="33" t="s">
        <v>9</v>
      </c>
      <c r="D268" s="31">
        <v>60</v>
      </c>
      <c r="E268" s="33">
        <v>2</v>
      </c>
      <c r="F268" s="34">
        <v>0.31</v>
      </c>
      <c r="G268" s="33">
        <v>108</v>
      </c>
      <c r="H268" s="35">
        <f t="shared" si="10"/>
        <v>3.4378452000000004E-2</v>
      </c>
      <c r="I268" s="36" t="s">
        <v>110</v>
      </c>
    </row>
    <row r="269" spans="1:9" x14ac:dyDescent="0.2">
      <c r="A269" s="33" t="s">
        <v>119</v>
      </c>
      <c r="B269" s="32" t="s">
        <v>125</v>
      </c>
      <c r="C269" s="33" t="s">
        <v>9</v>
      </c>
      <c r="D269" s="31">
        <v>60</v>
      </c>
      <c r="E269" s="33">
        <v>3</v>
      </c>
      <c r="F269" s="34">
        <v>0.46</v>
      </c>
      <c r="G269" s="33">
        <v>209</v>
      </c>
      <c r="H269" s="35">
        <f t="shared" si="10"/>
        <v>6.6528670999999998E-2</v>
      </c>
      <c r="I269" s="36" t="s">
        <v>110</v>
      </c>
    </row>
    <row r="270" spans="1:9" x14ac:dyDescent="0.2">
      <c r="A270" s="33" t="s">
        <v>119</v>
      </c>
      <c r="B270" s="32" t="s">
        <v>125</v>
      </c>
      <c r="C270" s="33" t="s">
        <v>9</v>
      </c>
      <c r="D270" s="31">
        <v>60</v>
      </c>
      <c r="E270" s="33">
        <v>4</v>
      </c>
      <c r="F270" s="34">
        <v>0.6</v>
      </c>
      <c r="G270" s="33">
        <v>316</v>
      </c>
      <c r="H270" s="35">
        <f t="shared" si="10"/>
        <v>0.100588804</v>
      </c>
      <c r="I270" s="36" t="s">
        <v>110</v>
      </c>
    </row>
    <row r="271" spans="1:9" x14ac:dyDescent="0.2">
      <c r="A271" s="33" t="s">
        <v>119</v>
      </c>
      <c r="B271" s="32" t="s">
        <v>125</v>
      </c>
      <c r="C271" s="33" t="s">
        <v>19</v>
      </c>
      <c r="D271" s="31">
        <v>60</v>
      </c>
      <c r="E271" s="33">
        <v>5</v>
      </c>
      <c r="F271" s="34">
        <v>0.73</v>
      </c>
      <c r="G271" s="33">
        <v>448</v>
      </c>
      <c r="H271" s="35">
        <f t="shared" si="10"/>
        <v>0.142606912</v>
      </c>
      <c r="I271" s="36" t="s">
        <v>110</v>
      </c>
    </row>
    <row r="272" spans="1:9" x14ac:dyDescent="0.2">
      <c r="A272" s="33" t="s">
        <v>119</v>
      </c>
      <c r="B272" s="32" t="s">
        <v>125</v>
      </c>
      <c r="C272" s="33" t="s">
        <v>19</v>
      </c>
      <c r="D272" s="31">
        <v>60</v>
      </c>
      <c r="E272" s="33">
        <v>7</v>
      </c>
      <c r="F272" s="34">
        <v>0.9</v>
      </c>
      <c r="G272" s="33">
        <v>559</v>
      </c>
      <c r="H272" s="35">
        <f t="shared" si="10"/>
        <v>0.17794032100000004</v>
      </c>
      <c r="I272" s="36" t="s">
        <v>110</v>
      </c>
    </row>
    <row r="273" spans="1:9" x14ac:dyDescent="0.2">
      <c r="A273" s="33" t="s">
        <v>119</v>
      </c>
      <c r="B273" s="32" t="s">
        <v>125</v>
      </c>
      <c r="C273" s="33" t="s">
        <v>19</v>
      </c>
      <c r="D273" s="31">
        <v>60</v>
      </c>
      <c r="E273" s="33">
        <v>10</v>
      </c>
      <c r="F273" s="34">
        <v>1</v>
      </c>
      <c r="G273" s="33">
        <v>632</v>
      </c>
      <c r="H273" s="35">
        <f t="shared" si="10"/>
        <v>0.20117760800000001</v>
      </c>
      <c r="I273" s="36" t="s">
        <v>110</v>
      </c>
    </row>
    <row r="274" spans="1:9" x14ac:dyDescent="0.2">
      <c r="A274" s="12" t="s">
        <v>120</v>
      </c>
      <c r="B274" s="13" t="s">
        <v>127</v>
      </c>
      <c r="C274" s="14" t="s">
        <v>9</v>
      </c>
      <c r="D274" s="12">
        <v>60</v>
      </c>
      <c r="E274" s="14">
        <v>0</v>
      </c>
      <c r="F274" s="15">
        <v>0</v>
      </c>
      <c r="G274" s="14">
        <v>38</v>
      </c>
      <c r="H274" s="16">
        <f t="shared" si="10"/>
        <v>1.2096122000000001E-2</v>
      </c>
      <c r="I274" s="17" t="s">
        <v>133</v>
      </c>
    </row>
    <row r="275" spans="1:9" x14ac:dyDescent="0.2">
      <c r="A275" s="12" t="s">
        <v>120</v>
      </c>
      <c r="B275" s="13" t="s">
        <v>127</v>
      </c>
      <c r="C275" s="14" t="s">
        <v>9</v>
      </c>
      <c r="D275" s="12">
        <v>60</v>
      </c>
      <c r="E275" s="14">
        <v>1</v>
      </c>
      <c r="F275" s="15">
        <v>0.15</v>
      </c>
      <c r="G275" s="14">
        <v>68</v>
      </c>
      <c r="H275" s="16">
        <f t="shared" si="10"/>
        <v>2.1645692000000001E-2</v>
      </c>
      <c r="I275" s="17" t="s">
        <v>133</v>
      </c>
    </row>
    <row r="276" spans="1:9" x14ac:dyDescent="0.2">
      <c r="A276" s="12" t="s">
        <v>120</v>
      </c>
      <c r="B276" s="13" t="s">
        <v>127</v>
      </c>
      <c r="C276" s="14" t="s">
        <v>9</v>
      </c>
      <c r="D276" s="12">
        <v>60</v>
      </c>
      <c r="E276" s="14">
        <v>2</v>
      </c>
      <c r="F276" s="15">
        <v>0.31</v>
      </c>
      <c r="G276" s="14">
        <v>129</v>
      </c>
      <c r="H276" s="16">
        <f t="shared" si="10"/>
        <v>4.1063151000000006E-2</v>
      </c>
      <c r="I276" s="17" t="s">
        <v>133</v>
      </c>
    </row>
    <row r="277" spans="1:9" x14ac:dyDescent="0.2">
      <c r="A277" s="12" t="s">
        <v>120</v>
      </c>
      <c r="B277" s="13" t="s">
        <v>127</v>
      </c>
      <c r="C277" s="14" t="s">
        <v>9</v>
      </c>
      <c r="D277" s="12">
        <v>60</v>
      </c>
      <c r="E277" s="14">
        <v>3</v>
      </c>
      <c r="F277" s="15">
        <v>0.45</v>
      </c>
      <c r="G277" s="14">
        <v>210</v>
      </c>
      <c r="H277" s="16">
        <f t="shared" si="10"/>
        <v>6.6846989999999995E-2</v>
      </c>
      <c r="I277" s="17" t="s">
        <v>133</v>
      </c>
    </row>
    <row r="278" spans="1:9" x14ac:dyDescent="0.2">
      <c r="A278" s="12" t="s">
        <v>120</v>
      </c>
      <c r="B278" s="13" t="s">
        <v>127</v>
      </c>
      <c r="C278" s="14" t="s">
        <v>9</v>
      </c>
      <c r="D278" s="12">
        <v>60</v>
      </c>
      <c r="E278" s="14">
        <v>4</v>
      </c>
      <c r="F278" s="15">
        <v>0.59</v>
      </c>
      <c r="G278" s="14">
        <v>288</v>
      </c>
      <c r="H278" s="16">
        <f t="shared" si="10"/>
        <v>9.1675871999999992E-2</v>
      </c>
      <c r="I278" s="17" t="s">
        <v>133</v>
      </c>
    </row>
    <row r="279" spans="1:9" x14ac:dyDescent="0.2">
      <c r="A279" s="12" t="s">
        <v>120</v>
      </c>
      <c r="B279" s="13" t="s">
        <v>127</v>
      </c>
      <c r="C279" s="14" t="s">
        <v>9</v>
      </c>
      <c r="D279" s="12">
        <v>60</v>
      </c>
      <c r="E279" s="14">
        <v>5</v>
      </c>
      <c r="F279" s="15">
        <v>0.72</v>
      </c>
      <c r="G279" s="14">
        <v>380</v>
      </c>
      <c r="H279" s="16">
        <f t="shared" si="10"/>
        <v>0.12096122000000001</v>
      </c>
      <c r="I279" s="17" t="s">
        <v>133</v>
      </c>
    </row>
    <row r="280" spans="1:9" x14ac:dyDescent="0.2">
      <c r="A280" s="12" t="s">
        <v>120</v>
      </c>
      <c r="B280" s="13" t="s">
        <v>127</v>
      </c>
      <c r="C280" s="14" t="s">
        <v>9</v>
      </c>
      <c r="D280" s="12">
        <v>60</v>
      </c>
      <c r="E280" s="14">
        <v>7</v>
      </c>
      <c r="F280" s="15">
        <v>0.89</v>
      </c>
      <c r="G280" s="14">
        <v>490</v>
      </c>
      <c r="H280" s="16">
        <f t="shared" si="10"/>
        <v>0.15597631000000001</v>
      </c>
      <c r="I280" s="17" t="s">
        <v>133</v>
      </c>
    </row>
    <row r="281" spans="1:9" x14ac:dyDescent="0.2">
      <c r="A281" s="12" t="s">
        <v>120</v>
      </c>
      <c r="B281" s="13" t="s">
        <v>127</v>
      </c>
      <c r="C281" s="14" t="s">
        <v>9</v>
      </c>
      <c r="D281" s="12">
        <v>60</v>
      </c>
      <c r="E281" s="14">
        <v>10</v>
      </c>
      <c r="F281" s="15">
        <v>1</v>
      </c>
      <c r="G281" s="14">
        <v>550</v>
      </c>
      <c r="H281" s="16">
        <f t="shared" si="10"/>
        <v>0.17507545000000002</v>
      </c>
      <c r="I281" s="17" t="s">
        <v>133</v>
      </c>
    </row>
    <row r="282" spans="1:9" x14ac:dyDescent="0.2">
      <c r="A282" s="6" t="s">
        <v>130</v>
      </c>
      <c r="B282" s="7" t="s">
        <v>129</v>
      </c>
      <c r="C282" s="8" t="s">
        <v>9</v>
      </c>
      <c r="D282" s="6">
        <v>60</v>
      </c>
      <c r="E282" s="8">
        <v>0</v>
      </c>
      <c r="F282" s="9">
        <v>0</v>
      </c>
      <c r="G282" s="8">
        <v>10</v>
      </c>
      <c r="H282" s="10">
        <f t="shared" si="10"/>
        <v>3.1831900000000002E-3</v>
      </c>
      <c r="I282" s="11" t="s">
        <v>133</v>
      </c>
    </row>
    <row r="283" spans="1:9" x14ac:dyDescent="0.2">
      <c r="A283" s="6" t="s">
        <v>130</v>
      </c>
      <c r="B283" s="7" t="s">
        <v>129</v>
      </c>
      <c r="C283" s="8" t="s">
        <v>9</v>
      </c>
      <c r="D283" s="6">
        <v>60</v>
      </c>
      <c r="E283" s="8">
        <v>1</v>
      </c>
      <c r="F283" s="9">
        <v>0.16</v>
      </c>
      <c r="G283" s="8">
        <v>30</v>
      </c>
      <c r="H283" s="10">
        <f t="shared" si="10"/>
        <v>9.5495700000000003E-3</v>
      </c>
      <c r="I283" s="11" t="s">
        <v>133</v>
      </c>
    </row>
    <row r="284" spans="1:9" x14ac:dyDescent="0.2">
      <c r="A284" s="6" t="s">
        <v>130</v>
      </c>
      <c r="B284" s="7" t="s">
        <v>129</v>
      </c>
      <c r="C284" s="8" t="s">
        <v>9</v>
      </c>
      <c r="D284" s="6">
        <v>60</v>
      </c>
      <c r="E284" s="8">
        <v>2</v>
      </c>
      <c r="F284" s="9">
        <v>0.31</v>
      </c>
      <c r="G284" s="8">
        <v>110</v>
      </c>
      <c r="H284" s="10">
        <f t="shared" si="10"/>
        <v>3.5015090000000006E-2</v>
      </c>
      <c r="I284" s="11" t="s">
        <v>133</v>
      </c>
    </row>
    <row r="285" spans="1:9" x14ac:dyDescent="0.2">
      <c r="A285" s="6" t="s">
        <v>130</v>
      </c>
      <c r="B285" s="7" t="s">
        <v>129</v>
      </c>
      <c r="C285" s="8" t="s">
        <v>9</v>
      </c>
      <c r="D285" s="6">
        <v>60</v>
      </c>
      <c r="E285" s="8">
        <v>3</v>
      </c>
      <c r="F285" s="9">
        <v>0.46</v>
      </c>
      <c r="G285" s="8">
        <v>240</v>
      </c>
      <c r="H285" s="10">
        <f t="shared" si="10"/>
        <v>7.6396560000000002E-2</v>
      </c>
      <c r="I285" s="11" t="s">
        <v>133</v>
      </c>
    </row>
    <row r="286" spans="1:9" x14ac:dyDescent="0.2">
      <c r="A286" s="6" t="s">
        <v>130</v>
      </c>
      <c r="B286" s="7" t="s">
        <v>129</v>
      </c>
      <c r="C286" s="8" t="s">
        <v>9</v>
      </c>
      <c r="D286" s="6">
        <v>60</v>
      </c>
      <c r="E286" s="8">
        <v>4</v>
      </c>
      <c r="F286" s="9">
        <v>0.6</v>
      </c>
      <c r="G286" s="8">
        <v>388</v>
      </c>
      <c r="H286" s="10">
        <f t="shared" si="10"/>
        <v>0.12350777200000002</v>
      </c>
      <c r="I286" s="11" t="s">
        <v>133</v>
      </c>
    </row>
    <row r="287" spans="1:9" x14ac:dyDescent="0.2">
      <c r="A287" s="6" t="s">
        <v>130</v>
      </c>
      <c r="B287" s="7" t="s">
        <v>129</v>
      </c>
      <c r="C287" s="8" t="s">
        <v>9</v>
      </c>
      <c r="D287" s="6">
        <v>60</v>
      </c>
      <c r="E287" s="8">
        <v>5</v>
      </c>
      <c r="F287" s="9">
        <v>0.73</v>
      </c>
      <c r="G287" s="8">
        <v>530</v>
      </c>
      <c r="H287" s="10">
        <f t="shared" si="10"/>
        <v>0.16870907000000002</v>
      </c>
      <c r="I287" s="11" t="s">
        <v>133</v>
      </c>
    </row>
    <row r="288" spans="1:9" x14ac:dyDescent="0.2">
      <c r="A288" s="6" t="s">
        <v>130</v>
      </c>
      <c r="B288" s="7" t="s">
        <v>129</v>
      </c>
      <c r="C288" s="8" t="s">
        <v>9</v>
      </c>
      <c r="D288" s="6">
        <v>60</v>
      </c>
      <c r="E288" s="8">
        <v>7</v>
      </c>
      <c r="F288" s="9">
        <v>0.9</v>
      </c>
      <c r="G288" s="8">
        <v>690</v>
      </c>
      <c r="H288" s="10">
        <f t="shared" si="10"/>
        <v>0.21964011</v>
      </c>
      <c r="I288" s="11" t="s">
        <v>133</v>
      </c>
    </row>
    <row r="289" spans="1:9" x14ac:dyDescent="0.2">
      <c r="A289" s="6" t="s">
        <v>130</v>
      </c>
      <c r="B289" s="7" t="s">
        <v>129</v>
      </c>
      <c r="C289" s="8" t="s">
        <v>9</v>
      </c>
      <c r="D289" s="6">
        <v>60</v>
      </c>
      <c r="E289" s="8">
        <v>10</v>
      </c>
      <c r="F289" s="9">
        <v>1</v>
      </c>
      <c r="G289" s="8">
        <v>761</v>
      </c>
      <c r="H289" s="10">
        <f t="shared" si="10"/>
        <v>0.24224075900000003</v>
      </c>
      <c r="I289" s="11" t="s">
        <v>133</v>
      </c>
    </row>
    <row r="290" spans="1:9" x14ac:dyDescent="0.2">
      <c r="A290" s="33" t="s">
        <v>132</v>
      </c>
      <c r="B290" s="32" t="s">
        <v>135</v>
      </c>
      <c r="C290" s="33" t="s">
        <v>9</v>
      </c>
      <c r="D290" s="31">
        <v>60</v>
      </c>
      <c r="E290" s="33">
        <v>0</v>
      </c>
      <c r="F290" s="34">
        <v>0</v>
      </c>
      <c r="G290" s="33">
        <v>19</v>
      </c>
      <c r="H290" s="35">
        <f t="shared" si="10"/>
        <v>6.0480610000000004E-3</v>
      </c>
      <c r="I290" s="36" t="s">
        <v>133</v>
      </c>
    </row>
    <row r="291" spans="1:9" x14ac:dyDescent="0.2">
      <c r="A291" s="33" t="s">
        <v>132</v>
      </c>
      <c r="B291" s="32" t="s">
        <v>135</v>
      </c>
      <c r="C291" s="33" t="s">
        <v>9</v>
      </c>
      <c r="D291" s="31">
        <v>60</v>
      </c>
      <c r="E291" s="33">
        <v>1</v>
      </c>
      <c r="F291" s="34">
        <v>0.16</v>
      </c>
      <c r="G291" s="33">
        <v>48</v>
      </c>
      <c r="H291" s="35">
        <f t="shared" si="10"/>
        <v>1.5279312000000001E-2</v>
      </c>
      <c r="I291" s="36" t="s">
        <v>133</v>
      </c>
    </row>
    <row r="292" spans="1:9" x14ac:dyDescent="0.2">
      <c r="A292" s="33" t="s">
        <v>132</v>
      </c>
      <c r="B292" s="32" t="s">
        <v>135</v>
      </c>
      <c r="C292" s="33" t="s">
        <v>9</v>
      </c>
      <c r="D292" s="31">
        <v>60</v>
      </c>
      <c r="E292" s="33">
        <v>2</v>
      </c>
      <c r="F292" s="34">
        <v>0.3</v>
      </c>
      <c r="G292" s="33">
        <v>109</v>
      </c>
      <c r="H292" s="35">
        <f t="shared" si="10"/>
        <v>3.4696771000000001E-2</v>
      </c>
      <c r="I292" s="36" t="s">
        <v>133</v>
      </c>
    </row>
    <row r="293" spans="1:9" x14ac:dyDescent="0.2">
      <c r="A293" s="33" t="s">
        <v>132</v>
      </c>
      <c r="B293" s="32" t="s">
        <v>135</v>
      </c>
      <c r="C293" s="33" t="s">
        <v>9</v>
      </c>
      <c r="D293" s="31">
        <v>60</v>
      </c>
      <c r="E293" s="33">
        <v>3</v>
      </c>
      <c r="F293" s="34">
        <v>0.44</v>
      </c>
      <c r="G293" s="33">
        <v>159</v>
      </c>
      <c r="H293" s="35">
        <f t="shared" si="10"/>
        <v>5.0612721000000006E-2</v>
      </c>
      <c r="I293" s="36" t="s">
        <v>133</v>
      </c>
    </row>
    <row r="294" spans="1:9" x14ac:dyDescent="0.2">
      <c r="A294" s="33" t="s">
        <v>132</v>
      </c>
      <c r="B294" s="32" t="s">
        <v>135</v>
      </c>
      <c r="C294" s="33" t="s">
        <v>9</v>
      </c>
      <c r="D294" s="31">
        <v>60</v>
      </c>
      <c r="E294" s="33">
        <v>4</v>
      </c>
      <c r="F294" s="34">
        <v>0.57999999999999996</v>
      </c>
      <c r="G294" s="33">
        <v>218</v>
      </c>
      <c r="H294" s="35">
        <f t="shared" si="10"/>
        <v>6.9393542000000003E-2</v>
      </c>
      <c r="I294" s="36" t="s">
        <v>133</v>
      </c>
    </row>
    <row r="295" spans="1:9" x14ac:dyDescent="0.2">
      <c r="A295" s="33" t="s">
        <v>132</v>
      </c>
      <c r="B295" s="32" t="s">
        <v>135</v>
      </c>
      <c r="C295" s="33" t="s">
        <v>19</v>
      </c>
      <c r="D295" s="31">
        <v>60</v>
      </c>
      <c r="E295" s="33">
        <v>5</v>
      </c>
      <c r="F295" s="34">
        <v>0.71</v>
      </c>
      <c r="G295" s="33">
        <v>297</v>
      </c>
      <c r="H295" s="35">
        <f t="shared" si="10"/>
        <v>9.4540742999999997E-2</v>
      </c>
      <c r="I295" s="36" t="s">
        <v>133</v>
      </c>
    </row>
    <row r="296" spans="1:9" x14ac:dyDescent="0.2">
      <c r="A296" s="33" t="s">
        <v>132</v>
      </c>
      <c r="B296" s="32" t="s">
        <v>135</v>
      </c>
      <c r="C296" s="33" t="s">
        <v>19</v>
      </c>
      <c r="D296" s="31">
        <v>60</v>
      </c>
      <c r="E296" s="33">
        <v>7</v>
      </c>
      <c r="F296" s="34">
        <v>0.87</v>
      </c>
      <c r="G296" s="33">
        <v>379</v>
      </c>
      <c r="H296" s="35">
        <f t="shared" si="10"/>
        <v>0.12064290100000001</v>
      </c>
      <c r="I296" s="36" t="s">
        <v>133</v>
      </c>
    </row>
    <row r="297" spans="1:9" x14ac:dyDescent="0.2">
      <c r="A297" s="33" t="s">
        <v>132</v>
      </c>
      <c r="B297" s="32" t="s">
        <v>135</v>
      </c>
      <c r="C297" s="33" t="s">
        <v>19</v>
      </c>
      <c r="D297" s="31">
        <v>60</v>
      </c>
      <c r="E297" s="33">
        <v>10</v>
      </c>
      <c r="F297" s="34">
        <v>0.99</v>
      </c>
      <c r="G297" s="33">
        <v>429</v>
      </c>
      <c r="H297" s="35">
        <f t="shared" si="10"/>
        <v>0.13655885100000001</v>
      </c>
      <c r="I297" s="36" t="s">
        <v>133</v>
      </c>
    </row>
    <row r="298" spans="1:9" x14ac:dyDescent="0.2">
      <c r="A298" s="18" t="s">
        <v>44</v>
      </c>
      <c r="B298" s="19" t="s">
        <v>26</v>
      </c>
      <c r="C298" s="18" t="s">
        <v>9</v>
      </c>
      <c r="D298" s="18">
        <v>60</v>
      </c>
      <c r="E298" s="20">
        <v>0</v>
      </c>
      <c r="F298" s="21">
        <v>0</v>
      </c>
      <c r="G298" s="18">
        <v>55</v>
      </c>
      <c r="H298" s="22">
        <f t="shared" si="10"/>
        <v>1.7507545000000003E-2</v>
      </c>
      <c r="I298" s="23" t="s">
        <v>136</v>
      </c>
    </row>
    <row r="299" spans="1:9" x14ac:dyDescent="0.2">
      <c r="A299" s="18" t="s">
        <v>44</v>
      </c>
      <c r="B299" s="19" t="s">
        <v>26</v>
      </c>
      <c r="C299" s="18" t="s">
        <v>9</v>
      </c>
      <c r="D299" s="18">
        <v>60</v>
      </c>
      <c r="E299" s="20">
        <v>1</v>
      </c>
      <c r="F299" s="21">
        <v>0.15</v>
      </c>
      <c r="G299" s="18">
        <v>194</v>
      </c>
      <c r="H299" s="22">
        <f t="shared" si="10"/>
        <v>6.1753886000000008E-2</v>
      </c>
      <c r="I299" s="23" t="s">
        <v>136</v>
      </c>
    </row>
    <row r="300" spans="1:9" x14ac:dyDescent="0.2">
      <c r="A300" s="18" t="s">
        <v>44</v>
      </c>
      <c r="B300" s="19" t="s">
        <v>26</v>
      </c>
      <c r="C300" s="18" t="s">
        <v>9</v>
      </c>
      <c r="D300" s="18">
        <v>60</v>
      </c>
      <c r="E300" s="20">
        <v>2</v>
      </c>
      <c r="F300" s="21">
        <v>0.3</v>
      </c>
      <c r="G300" s="20">
        <v>274</v>
      </c>
      <c r="H300" s="22">
        <f t="shared" si="10"/>
        <v>8.7219406000000013E-2</v>
      </c>
      <c r="I300" s="23" t="s">
        <v>136</v>
      </c>
    </row>
    <row r="301" spans="1:9" x14ac:dyDescent="0.2">
      <c r="A301" s="18" t="s">
        <v>44</v>
      </c>
      <c r="B301" s="19" t="s">
        <v>26</v>
      </c>
      <c r="C301" s="18" t="s">
        <v>9</v>
      </c>
      <c r="D301" s="18">
        <v>60</v>
      </c>
      <c r="E301" s="20">
        <v>3</v>
      </c>
      <c r="F301" s="21">
        <v>0.45</v>
      </c>
      <c r="G301" s="20">
        <v>415</v>
      </c>
      <c r="H301" s="22">
        <f t="shared" si="10"/>
        <v>0.13210238499999999</v>
      </c>
      <c r="I301" s="23" t="s">
        <v>136</v>
      </c>
    </row>
    <row r="302" spans="1:9" x14ac:dyDescent="0.2">
      <c r="A302" s="18" t="s">
        <v>44</v>
      </c>
      <c r="B302" s="19" t="s">
        <v>26</v>
      </c>
      <c r="C302" s="18" t="s">
        <v>9</v>
      </c>
      <c r="D302" s="18">
        <v>60</v>
      </c>
      <c r="E302" s="20">
        <v>4</v>
      </c>
      <c r="F302" s="21">
        <v>0.57999999999999996</v>
      </c>
      <c r="G302" s="20">
        <v>617</v>
      </c>
      <c r="H302" s="22">
        <f t="shared" si="10"/>
        <v>0.196402823</v>
      </c>
      <c r="I302" s="23" t="s">
        <v>136</v>
      </c>
    </row>
    <row r="303" spans="1:9" x14ac:dyDescent="0.2">
      <c r="A303" s="18" t="s">
        <v>44</v>
      </c>
      <c r="B303" s="19" t="s">
        <v>26</v>
      </c>
      <c r="C303" s="18" t="s">
        <v>9</v>
      </c>
      <c r="D303" s="18">
        <v>60</v>
      </c>
      <c r="E303" s="20">
        <v>5</v>
      </c>
      <c r="F303" s="21">
        <v>0.71</v>
      </c>
      <c r="G303" s="20">
        <v>877</v>
      </c>
      <c r="H303" s="22">
        <f t="shared" si="10"/>
        <v>0.27916576300000001</v>
      </c>
      <c r="I303" s="23" t="s">
        <v>136</v>
      </c>
    </row>
    <row r="304" spans="1:9" x14ac:dyDescent="0.2">
      <c r="A304" s="18" t="s">
        <v>44</v>
      </c>
      <c r="B304" s="19" t="s">
        <v>26</v>
      </c>
      <c r="C304" s="18" t="s">
        <v>9</v>
      </c>
      <c r="D304" s="18">
        <v>60</v>
      </c>
      <c r="E304" s="20">
        <v>7</v>
      </c>
      <c r="F304" s="21">
        <v>0.88</v>
      </c>
      <c r="G304" s="20">
        <v>1136</v>
      </c>
      <c r="H304" s="22">
        <f t="shared" ref="H304" si="11">G304/1000*0.318319</f>
        <v>0.36161038400000001</v>
      </c>
      <c r="I304" s="23" t="s">
        <v>136</v>
      </c>
    </row>
    <row r="305" spans="1:9" x14ac:dyDescent="0.2">
      <c r="A305" s="18" t="s">
        <v>44</v>
      </c>
      <c r="B305" s="19" t="s">
        <v>26</v>
      </c>
      <c r="C305" s="18" t="s">
        <v>9</v>
      </c>
      <c r="D305" s="18">
        <v>60</v>
      </c>
      <c r="E305" s="20">
        <v>10</v>
      </c>
      <c r="F305" s="21">
        <v>0.99</v>
      </c>
      <c r="G305" s="20">
        <v>1298</v>
      </c>
      <c r="H305" s="22">
        <f t="shared" si="10"/>
        <v>0.41317806200000001</v>
      </c>
      <c r="I305" s="23" t="s">
        <v>136</v>
      </c>
    </row>
    <row r="306" spans="1:9" x14ac:dyDescent="0.2">
      <c r="A306" s="12" t="s">
        <v>166</v>
      </c>
      <c r="B306" s="13" t="s">
        <v>137</v>
      </c>
      <c r="C306" s="14" t="s">
        <v>9</v>
      </c>
      <c r="D306" s="12">
        <v>60</v>
      </c>
      <c r="E306" s="14">
        <v>0</v>
      </c>
      <c r="F306" s="15">
        <v>0</v>
      </c>
      <c r="G306" s="14">
        <v>65</v>
      </c>
      <c r="H306" s="16">
        <f t="shared" ref="H306:H329" si="12">G306/1000*0.318319</f>
        <v>2.0690735000000002E-2</v>
      </c>
      <c r="I306" s="17" t="s">
        <v>136</v>
      </c>
    </row>
    <row r="307" spans="1:9" x14ac:dyDescent="0.2">
      <c r="A307" s="12" t="s">
        <v>166</v>
      </c>
      <c r="B307" s="13" t="s">
        <v>137</v>
      </c>
      <c r="C307" s="14" t="s">
        <v>9</v>
      </c>
      <c r="D307" s="12">
        <v>60</v>
      </c>
      <c r="E307" s="14">
        <v>1</v>
      </c>
      <c r="F307" s="15">
        <v>0.16</v>
      </c>
      <c r="G307" s="14">
        <v>90</v>
      </c>
      <c r="H307" s="16">
        <f t="shared" si="12"/>
        <v>2.8648710000000001E-2</v>
      </c>
      <c r="I307" s="17" t="s">
        <v>136</v>
      </c>
    </row>
    <row r="308" spans="1:9" x14ac:dyDescent="0.2">
      <c r="A308" s="12" t="s">
        <v>166</v>
      </c>
      <c r="B308" s="13" t="s">
        <v>137</v>
      </c>
      <c r="C308" s="14" t="s">
        <v>9</v>
      </c>
      <c r="D308" s="12">
        <v>60</v>
      </c>
      <c r="E308" s="14">
        <v>2</v>
      </c>
      <c r="F308" s="15">
        <v>0.31</v>
      </c>
      <c r="G308" s="14">
        <v>235</v>
      </c>
      <c r="H308" s="16">
        <f t="shared" si="12"/>
        <v>7.4804965000000001E-2</v>
      </c>
      <c r="I308" s="17" t="s">
        <v>136</v>
      </c>
    </row>
    <row r="309" spans="1:9" x14ac:dyDescent="0.2">
      <c r="A309" s="12" t="s">
        <v>166</v>
      </c>
      <c r="B309" s="13" t="s">
        <v>137</v>
      </c>
      <c r="C309" s="14" t="s">
        <v>9</v>
      </c>
      <c r="D309" s="12">
        <v>60</v>
      </c>
      <c r="E309" s="14">
        <v>3</v>
      </c>
      <c r="F309" s="15">
        <v>0.45</v>
      </c>
      <c r="G309" s="14">
        <v>375</v>
      </c>
      <c r="H309" s="16">
        <f t="shared" si="12"/>
        <v>0.11936962500000001</v>
      </c>
      <c r="I309" s="17" t="s">
        <v>136</v>
      </c>
    </row>
    <row r="310" spans="1:9" x14ac:dyDescent="0.2">
      <c r="A310" s="12" t="s">
        <v>166</v>
      </c>
      <c r="B310" s="13" t="s">
        <v>137</v>
      </c>
      <c r="C310" s="14" t="s">
        <v>9</v>
      </c>
      <c r="D310" s="12">
        <v>60</v>
      </c>
      <c r="E310" s="14">
        <v>4</v>
      </c>
      <c r="F310" s="15">
        <v>0.59</v>
      </c>
      <c r="G310" s="14">
        <v>523</v>
      </c>
      <c r="H310" s="16">
        <f t="shared" si="12"/>
        <v>0.16648083700000002</v>
      </c>
      <c r="I310" s="17" t="s">
        <v>136</v>
      </c>
    </row>
    <row r="311" spans="1:9" x14ac:dyDescent="0.2">
      <c r="A311" s="12" t="s">
        <v>166</v>
      </c>
      <c r="B311" s="13" t="s">
        <v>137</v>
      </c>
      <c r="C311" s="14" t="s">
        <v>9</v>
      </c>
      <c r="D311" s="12">
        <v>60</v>
      </c>
      <c r="E311" s="14">
        <v>5</v>
      </c>
      <c r="F311" s="15">
        <v>0.72</v>
      </c>
      <c r="G311" s="14">
        <v>696</v>
      </c>
      <c r="H311" s="16">
        <f t="shared" si="12"/>
        <v>0.22155002399999998</v>
      </c>
      <c r="I311" s="17" t="s">
        <v>136</v>
      </c>
    </row>
    <row r="312" spans="1:9" x14ac:dyDescent="0.2">
      <c r="A312" s="12" t="s">
        <v>166</v>
      </c>
      <c r="B312" s="13" t="s">
        <v>137</v>
      </c>
      <c r="C312" s="14" t="s">
        <v>9</v>
      </c>
      <c r="D312" s="12">
        <v>60</v>
      </c>
      <c r="E312" s="14">
        <v>7</v>
      </c>
      <c r="F312" s="15">
        <v>0.88</v>
      </c>
      <c r="G312" s="14">
        <v>995</v>
      </c>
      <c r="H312" s="16">
        <f t="shared" si="12"/>
        <v>0.31672740500000002</v>
      </c>
      <c r="I312" s="17" t="s">
        <v>136</v>
      </c>
    </row>
    <row r="313" spans="1:9" x14ac:dyDescent="0.2">
      <c r="A313" s="12" t="s">
        <v>166</v>
      </c>
      <c r="B313" s="13" t="s">
        <v>137</v>
      </c>
      <c r="C313" s="14" t="s">
        <v>9</v>
      </c>
      <c r="D313" s="12">
        <v>60</v>
      </c>
      <c r="E313" s="14">
        <v>10</v>
      </c>
      <c r="F313" s="15">
        <v>0.99</v>
      </c>
      <c r="G313" s="14">
        <v>1257</v>
      </c>
      <c r="H313" s="16">
        <f t="shared" si="12"/>
        <v>0.40012698299999999</v>
      </c>
      <c r="I313" s="17" t="s">
        <v>136</v>
      </c>
    </row>
    <row r="314" spans="1:9" x14ac:dyDescent="0.2">
      <c r="A314" s="33" t="s">
        <v>140</v>
      </c>
      <c r="B314" s="32" t="s">
        <v>142</v>
      </c>
      <c r="C314" s="31" t="s">
        <v>19</v>
      </c>
      <c r="D314" s="31">
        <v>60</v>
      </c>
      <c r="E314" s="33">
        <v>0</v>
      </c>
      <c r="F314" s="34">
        <v>0</v>
      </c>
      <c r="G314" s="33">
        <v>349</v>
      </c>
      <c r="H314" s="35">
        <f t="shared" si="12"/>
        <v>0.111093331</v>
      </c>
      <c r="I314" s="36" t="s">
        <v>138</v>
      </c>
    </row>
    <row r="315" spans="1:9" x14ac:dyDescent="0.2">
      <c r="A315" s="33" t="s">
        <v>140</v>
      </c>
      <c r="B315" s="32" t="s">
        <v>142</v>
      </c>
      <c r="C315" s="31" t="s">
        <v>19</v>
      </c>
      <c r="D315" s="31">
        <v>60</v>
      </c>
      <c r="E315" s="33">
        <v>1</v>
      </c>
      <c r="F315" s="34">
        <v>0.15</v>
      </c>
      <c r="G315" s="33">
        <v>488</v>
      </c>
      <c r="H315" s="35">
        <f t="shared" si="12"/>
        <v>0.15533967200000001</v>
      </c>
      <c r="I315" s="36" t="s">
        <v>138</v>
      </c>
    </row>
    <row r="316" spans="1:9" x14ac:dyDescent="0.2">
      <c r="A316" s="33" t="s">
        <v>140</v>
      </c>
      <c r="B316" s="32" t="s">
        <v>142</v>
      </c>
      <c r="C316" s="31" t="s">
        <v>19</v>
      </c>
      <c r="D316" s="31">
        <v>60</v>
      </c>
      <c r="E316" s="33">
        <v>2</v>
      </c>
      <c r="F316" s="34">
        <v>0.3</v>
      </c>
      <c r="G316" s="33">
        <v>668</v>
      </c>
      <c r="H316" s="35">
        <f t="shared" si="12"/>
        <v>0.21263709200000003</v>
      </c>
      <c r="I316" s="36" t="s">
        <v>138</v>
      </c>
    </row>
    <row r="317" spans="1:9" x14ac:dyDescent="0.2">
      <c r="A317" s="33" t="s">
        <v>140</v>
      </c>
      <c r="B317" s="32" t="s">
        <v>142</v>
      </c>
      <c r="C317" s="31" t="s">
        <v>19</v>
      </c>
      <c r="D317" s="31">
        <v>60</v>
      </c>
      <c r="E317" s="33">
        <v>3</v>
      </c>
      <c r="F317" s="34">
        <v>0.44</v>
      </c>
      <c r="G317" s="33">
        <v>768</v>
      </c>
      <c r="H317" s="35">
        <f t="shared" si="12"/>
        <v>0.24446899200000002</v>
      </c>
      <c r="I317" s="36" t="s">
        <v>138</v>
      </c>
    </row>
    <row r="318" spans="1:9" x14ac:dyDescent="0.2">
      <c r="A318" s="33" t="s">
        <v>140</v>
      </c>
      <c r="B318" s="32" t="s">
        <v>142</v>
      </c>
      <c r="C318" s="31" t="s">
        <v>19</v>
      </c>
      <c r="D318" s="31">
        <v>60</v>
      </c>
      <c r="E318" s="33">
        <v>4</v>
      </c>
      <c r="F318" s="34">
        <v>0.57999999999999996</v>
      </c>
      <c r="G318" s="33">
        <v>878</v>
      </c>
      <c r="H318" s="35">
        <f t="shared" si="12"/>
        <v>0.27948408200000002</v>
      </c>
      <c r="I318" s="36" t="s">
        <v>138</v>
      </c>
    </row>
    <row r="319" spans="1:9" x14ac:dyDescent="0.2">
      <c r="A319" s="33" t="s">
        <v>140</v>
      </c>
      <c r="B319" s="32" t="s">
        <v>142</v>
      </c>
      <c r="C319" s="31" t="s">
        <v>19</v>
      </c>
      <c r="D319" s="31">
        <v>60</v>
      </c>
      <c r="E319" s="33">
        <v>5</v>
      </c>
      <c r="F319" s="34">
        <v>0.7</v>
      </c>
      <c r="G319" s="33">
        <v>1018</v>
      </c>
      <c r="H319" s="35">
        <f t="shared" si="12"/>
        <v>0.324048742</v>
      </c>
      <c r="I319" s="36" t="s">
        <v>138</v>
      </c>
    </row>
    <row r="320" spans="1:9" x14ac:dyDescent="0.2">
      <c r="A320" s="33" t="s">
        <v>140</v>
      </c>
      <c r="B320" s="32" t="s">
        <v>142</v>
      </c>
      <c r="C320" s="31" t="s">
        <v>19</v>
      </c>
      <c r="D320" s="31">
        <v>60</v>
      </c>
      <c r="E320" s="33">
        <v>7</v>
      </c>
      <c r="F320" s="34">
        <v>0.87</v>
      </c>
      <c r="G320" s="33">
        <v>1387</v>
      </c>
      <c r="H320" s="35">
        <f t="shared" si="12"/>
        <v>0.44150845300000002</v>
      </c>
      <c r="I320" s="36" t="s">
        <v>138</v>
      </c>
    </row>
    <row r="321" spans="1:9" x14ac:dyDescent="0.2">
      <c r="A321" s="33" t="s">
        <v>140</v>
      </c>
      <c r="B321" s="32" t="s">
        <v>142</v>
      </c>
      <c r="C321" s="31" t="s">
        <v>19</v>
      </c>
      <c r="D321" s="31">
        <v>60</v>
      </c>
      <c r="E321" s="33">
        <v>10</v>
      </c>
      <c r="F321" s="34">
        <v>0.98</v>
      </c>
      <c r="G321" s="33">
        <v>1769</v>
      </c>
      <c r="H321" s="35">
        <f t="shared" si="12"/>
        <v>0.56310631099999997</v>
      </c>
      <c r="I321" s="36" t="s">
        <v>138</v>
      </c>
    </row>
    <row r="322" spans="1:9" x14ac:dyDescent="0.2">
      <c r="A322" s="6" t="s">
        <v>143</v>
      </c>
      <c r="B322" s="7" t="s">
        <v>144</v>
      </c>
      <c r="C322" s="6" t="s">
        <v>19</v>
      </c>
      <c r="D322" s="6">
        <v>60</v>
      </c>
      <c r="E322" s="8">
        <v>0</v>
      </c>
      <c r="F322" s="9">
        <v>0</v>
      </c>
      <c r="G322" s="8">
        <v>-23</v>
      </c>
      <c r="H322" s="10">
        <f t="shared" si="12"/>
        <v>-7.3213370000000007E-3</v>
      </c>
      <c r="I322" s="11" t="s">
        <v>138</v>
      </c>
    </row>
    <row r="323" spans="1:9" x14ac:dyDescent="0.2">
      <c r="A323" s="6" t="s">
        <v>143</v>
      </c>
      <c r="B323" s="7" t="s">
        <v>144</v>
      </c>
      <c r="C323" s="6" t="s">
        <v>19</v>
      </c>
      <c r="D323" s="6">
        <v>60</v>
      </c>
      <c r="E323" s="8">
        <v>1</v>
      </c>
      <c r="F323" s="9">
        <v>0.15</v>
      </c>
      <c r="G323" s="8">
        <v>7</v>
      </c>
      <c r="H323" s="10">
        <f t="shared" si="12"/>
        <v>2.228233E-3</v>
      </c>
      <c r="I323" s="11" t="s">
        <v>138</v>
      </c>
    </row>
    <row r="324" spans="1:9" x14ac:dyDescent="0.2">
      <c r="A324" s="6" t="s">
        <v>145</v>
      </c>
      <c r="B324" s="7" t="s">
        <v>144</v>
      </c>
      <c r="C324" s="6" t="s">
        <v>19</v>
      </c>
      <c r="D324" s="6">
        <v>60</v>
      </c>
      <c r="E324" s="8">
        <v>2</v>
      </c>
      <c r="F324" s="9">
        <v>0.28999999999999998</v>
      </c>
      <c r="G324" s="8">
        <v>56</v>
      </c>
      <c r="H324" s="10">
        <f t="shared" si="12"/>
        <v>1.7825864E-2</v>
      </c>
      <c r="I324" s="11" t="s">
        <v>138</v>
      </c>
    </row>
    <row r="325" spans="1:9" x14ac:dyDescent="0.2">
      <c r="A325" s="6" t="s">
        <v>145</v>
      </c>
      <c r="B325" s="7" t="s">
        <v>144</v>
      </c>
      <c r="C325" s="6" t="s">
        <v>19</v>
      </c>
      <c r="D325" s="6">
        <v>60</v>
      </c>
      <c r="E325" s="8">
        <v>3</v>
      </c>
      <c r="F325" s="9">
        <v>0.43</v>
      </c>
      <c r="G325" s="8">
        <v>106</v>
      </c>
      <c r="H325" s="10">
        <f t="shared" si="12"/>
        <v>3.3741814000000002E-2</v>
      </c>
      <c r="I325" s="11" t="s">
        <v>138</v>
      </c>
    </row>
    <row r="326" spans="1:9" x14ac:dyDescent="0.2">
      <c r="A326" s="6" t="s">
        <v>145</v>
      </c>
      <c r="B326" s="7" t="s">
        <v>144</v>
      </c>
      <c r="C326" s="6" t="s">
        <v>19</v>
      </c>
      <c r="D326" s="6">
        <v>60</v>
      </c>
      <c r="E326" s="8">
        <v>4</v>
      </c>
      <c r="F326" s="9">
        <v>0.56000000000000005</v>
      </c>
      <c r="G326" s="8">
        <v>166</v>
      </c>
      <c r="H326" s="10">
        <f t="shared" si="12"/>
        <v>5.2840954000000002E-2</v>
      </c>
      <c r="I326" s="11" t="s">
        <v>138</v>
      </c>
    </row>
    <row r="327" spans="1:9" x14ac:dyDescent="0.2">
      <c r="A327" s="6" t="s">
        <v>145</v>
      </c>
      <c r="B327" s="7" t="s">
        <v>144</v>
      </c>
      <c r="C327" s="6" t="s">
        <v>19</v>
      </c>
      <c r="D327" s="6">
        <v>60</v>
      </c>
      <c r="E327" s="8">
        <v>5</v>
      </c>
      <c r="F327" s="9">
        <v>0.69</v>
      </c>
      <c r="G327" s="8">
        <v>227</v>
      </c>
      <c r="H327" s="10">
        <f t="shared" si="12"/>
        <v>7.2258413000000007E-2</v>
      </c>
      <c r="I327" s="11" t="s">
        <v>138</v>
      </c>
    </row>
    <row r="328" spans="1:9" x14ac:dyDescent="0.2">
      <c r="A328" s="6" t="s">
        <v>145</v>
      </c>
      <c r="B328" s="7" t="s">
        <v>144</v>
      </c>
      <c r="C328" s="6" t="s">
        <v>19</v>
      </c>
      <c r="D328" s="6">
        <v>60</v>
      </c>
      <c r="E328" s="8">
        <v>7</v>
      </c>
      <c r="F328" s="9">
        <v>0.84</v>
      </c>
      <c r="G328" s="8">
        <v>316</v>
      </c>
      <c r="H328" s="10">
        <f t="shared" si="12"/>
        <v>0.100588804</v>
      </c>
      <c r="I328" s="11" t="s">
        <v>138</v>
      </c>
    </row>
    <row r="329" spans="1:9" x14ac:dyDescent="0.2">
      <c r="A329" s="6" t="s">
        <v>145</v>
      </c>
      <c r="B329" s="7" t="s">
        <v>144</v>
      </c>
      <c r="C329" s="6" t="s">
        <v>19</v>
      </c>
      <c r="D329" s="6">
        <v>60</v>
      </c>
      <c r="E329" s="8">
        <v>10</v>
      </c>
      <c r="F329" s="9">
        <v>0.95</v>
      </c>
      <c r="G329" s="8">
        <v>377</v>
      </c>
      <c r="H329" s="10">
        <f t="shared" si="12"/>
        <v>0.120006263</v>
      </c>
      <c r="I329" s="11" t="s">
        <v>138</v>
      </c>
    </row>
    <row r="330" spans="1:9" x14ac:dyDescent="0.2">
      <c r="A330" s="40" t="s">
        <v>150</v>
      </c>
      <c r="B330" s="41" t="s">
        <v>151</v>
      </c>
      <c r="C330" s="42" t="s">
        <v>19</v>
      </c>
      <c r="D330" s="42">
        <v>60</v>
      </c>
      <c r="E330" s="43">
        <v>0</v>
      </c>
      <c r="F330" s="44">
        <v>0</v>
      </c>
      <c r="G330" s="45">
        <v>67</v>
      </c>
      <c r="H330" s="46">
        <f t="shared" ref="H330:H337" si="13">G330/1000*0.318319</f>
        <v>2.1327373000000004E-2</v>
      </c>
      <c r="I330" s="47" t="s">
        <v>138</v>
      </c>
    </row>
    <row r="331" spans="1:9" x14ac:dyDescent="0.2">
      <c r="A331" s="40" t="s">
        <v>150</v>
      </c>
      <c r="B331" s="41" t="s">
        <v>151</v>
      </c>
      <c r="C331" s="42" t="s">
        <v>19</v>
      </c>
      <c r="D331" s="42">
        <v>60</v>
      </c>
      <c r="E331" s="43">
        <v>1</v>
      </c>
      <c r="F331" s="44">
        <v>0.15</v>
      </c>
      <c r="G331" s="45">
        <v>69</v>
      </c>
      <c r="H331" s="46">
        <f t="shared" si="13"/>
        <v>2.1964011000000002E-2</v>
      </c>
      <c r="I331" s="47" t="s">
        <v>138</v>
      </c>
    </row>
    <row r="332" spans="1:9" x14ac:dyDescent="0.2">
      <c r="A332" s="40" t="s">
        <v>152</v>
      </c>
      <c r="B332" s="41" t="s">
        <v>151</v>
      </c>
      <c r="C332" s="42" t="s">
        <v>19</v>
      </c>
      <c r="D332" s="42">
        <v>60</v>
      </c>
      <c r="E332" s="43">
        <v>2</v>
      </c>
      <c r="F332" s="44">
        <v>0.3</v>
      </c>
      <c r="G332" s="45">
        <v>156</v>
      </c>
      <c r="H332" s="46">
        <f t="shared" si="13"/>
        <v>4.9657764E-2</v>
      </c>
      <c r="I332" s="47" t="s">
        <v>138</v>
      </c>
    </row>
    <row r="333" spans="1:9" x14ac:dyDescent="0.2">
      <c r="A333" s="40" t="s">
        <v>152</v>
      </c>
      <c r="B333" s="41" t="s">
        <v>151</v>
      </c>
      <c r="C333" s="42" t="s">
        <v>19</v>
      </c>
      <c r="D333" s="42">
        <v>60</v>
      </c>
      <c r="E333" s="43">
        <v>3</v>
      </c>
      <c r="F333" s="44">
        <v>0.43</v>
      </c>
      <c r="G333" s="45">
        <v>226</v>
      </c>
      <c r="H333" s="46">
        <f t="shared" si="13"/>
        <v>7.194009400000001E-2</v>
      </c>
      <c r="I333" s="47" t="s">
        <v>138</v>
      </c>
    </row>
    <row r="334" spans="1:9" x14ac:dyDescent="0.2">
      <c r="A334" s="40" t="s">
        <v>152</v>
      </c>
      <c r="B334" s="41" t="s">
        <v>151</v>
      </c>
      <c r="C334" s="42" t="s">
        <v>19</v>
      </c>
      <c r="D334" s="42">
        <v>60</v>
      </c>
      <c r="E334" s="43">
        <v>4</v>
      </c>
      <c r="F334" s="44">
        <v>0.56000000000000005</v>
      </c>
      <c r="G334" s="45">
        <v>296</v>
      </c>
      <c r="H334" s="46">
        <f t="shared" si="13"/>
        <v>9.4222423999999999E-2</v>
      </c>
      <c r="I334" s="47" t="s">
        <v>138</v>
      </c>
    </row>
    <row r="335" spans="1:9" x14ac:dyDescent="0.2">
      <c r="A335" s="40" t="s">
        <v>152</v>
      </c>
      <c r="B335" s="41" t="s">
        <v>151</v>
      </c>
      <c r="C335" s="42" t="s">
        <v>19</v>
      </c>
      <c r="D335" s="42">
        <v>60</v>
      </c>
      <c r="E335" s="43">
        <v>5</v>
      </c>
      <c r="F335" s="44">
        <v>0.68</v>
      </c>
      <c r="G335" s="45">
        <v>368</v>
      </c>
      <c r="H335" s="46">
        <f t="shared" si="13"/>
        <v>0.11714139200000001</v>
      </c>
      <c r="I335" s="47" t="s">
        <v>138</v>
      </c>
    </row>
    <row r="336" spans="1:9" x14ac:dyDescent="0.2">
      <c r="A336" s="40" t="s">
        <v>152</v>
      </c>
      <c r="B336" s="41" t="s">
        <v>151</v>
      </c>
      <c r="C336" s="42" t="s">
        <v>19</v>
      </c>
      <c r="D336" s="42">
        <v>60</v>
      </c>
      <c r="E336" s="43">
        <v>7</v>
      </c>
      <c r="F336" s="44">
        <v>0.84</v>
      </c>
      <c r="G336" s="45">
        <v>457</v>
      </c>
      <c r="H336" s="46">
        <f t="shared" si="13"/>
        <v>0.14547178300000002</v>
      </c>
      <c r="I336" s="47" t="s">
        <v>138</v>
      </c>
    </row>
    <row r="337" spans="1:9" x14ac:dyDescent="0.2">
      <c r="A337" s="40" t="s">
        <v>152</v>
      </c>
      <c r="B337" s="41" t="s">
        <v>151</v>
      </c>
      <c r="C337" s="42" t="s">
        <v>19</v>
      </c>
      <c r="D337" s="42">
        <v>60</v>
      </c>
      <c r="E337" s="43">
        <v>10</v>
      </c>
      <c r="F337" s="44">
        <v>0.94</v>
      </c>
      <c r="G337" s="45">
        <v>516</v>
      </c>
      <c r="H337" s="46">
        <f t="shared" si="13"/>
        <v>0.16425260400000002</v>
      </c>
      <c r="I337" s="47" t="s">
        <v>138</v>
      </c>
    </row>
    <row r="338" spans="1:9" x14ac:dyDescent="0.2">
      <c r="A338" s="12" t="s">
        <v>166</v>
      </c>
      <c r="B338" s="13" t="s">
        <v>137</v>
      </c>
      <c r="C338" s="14" t="s">
        <v>27</v>
      </c>
      <c r="D338" s="12">
        <v>60</v>
      </c>
      <c r="E338" s="14">
        <v>0</v>
      </c>
      <c r="F338" s="15">
        <v>0</v>
      </c>
      <c r="G338" s="14">
        <v>-13</v>
      </c>
      <c r="H338" s="16">
        <f t="shared" ref="H338:H345" si="14">G338/1000*0.318319</f>
        <v>-4.138147E-3</v>
      </c>
      <c r="I338" s="17" t="s">
        <v>148</v>
      </c>
    </row>
    <row r="339" spans="1:9" x14ac:dyDescent="0.2">
      <c r="A339" s="12" t="s">
        <v>166</v>
      </c>
      <c r="B339" s="13" t="s">
        <v>137</v>
      </c>
      <c r="C339" s="14" t="s">
        <v>27</v>
      </c>
      <c r="D339" s="12">
        <v>60</v>
      </c>
      <c r="E339" s="14">
        <v>1</v>
      </c>
      <c r="F339" s="15">
        <v>0.15</v>
      </c>
      <c r="G339" s="14">
        <v>17</v>
      </c>
      <c r="H339" s="16">
        <f t="shared" si="14"/>
        <v>5.4114230000000003E-3</v>
      </c>
      <c r="I339" s="17" t="s">
        <v>148</v>
      </c>
    </row>
    <row r="340" spans="1:9" x14ac:dyDescent="0.2">
      <c r="A340" s="12" t="s">
        <v>166</v>
      </c>
      <c r="B340" s="13" t="s">
        <v>137</v>
      </c>
      <c r="C340" s="14" t="s">
        <v>27</v>
      </c>
      <c r="D340" s="12">
        <v>60</v>
      </c>
      <c r="E340" s="14">
        <v>2</v>
      </c>
      <c r="F340" s="15">
        <v>0.3</v>
      </c>
      <c r="G340" s="14">
        <v>386</v>
      </c>
      <c r="H340" s="16">
        <f t="shared" si="14"/>
        <v>0.12287113400000001</v>
      </c>
      <c r="I340" s="17" t="s">
        <v>148</v>
      </c>
    </row>
    <row r="341" spans="1:9" x14ac:dyDescent="0.2">
      <c r="A341" s="12" t="s">
        <v>166</v>
      </c>
      <c r="B341" s="13" t="s">
        <v>137</v>
      </c>
      <c r="C341" s="14" t="s">
        <v>27</v>
      </c>
      <c r="D341" s="12">
        <v>60</v>
      </c>
      <c r="E341" s="14">
        <v>3</v>
      </c>
      <c r="F341" s="15">
        <v>0.44</v>
      </c>
      <c r="G341" s="14">
        <v>486</v>
      </c>
      <c r="H341" s="16">
        <f t="shared" si="14"/>
        <v>0.15470303400000002</v>
      </c>
      <c r="I341" s="17" t="s">
        <v>148</v>
      </c>
    </row>
    <row r="342" spans="1:9" x14ac:dyDescent="0.2">
      <c r="A342" s="12" t="s">
        <v>166</v>
      </c>
      <c r="B342" s="13" t="s">
        <v>137</v>
      </c>
      <c r="C342" s="14" t="s">
        <v>27</v>
      </c>
      <c r="D342" s="12">
        <v>60</v>
      </c>
      <c r="E342" s="14">
        <v>4</v>
      </c>
      <c r="F342" s="15">
        <v>0.56999999999999995</v>
      </c>
      <c r="G342" s="14">
        <v>646</v>
      </c>
      <c r="H342" s="16">
        <f t="shared" si="14"/>
        <v>0.20563407400000003</v>
      </c>
      <c r="I342" s="17" t="s">
        <v>148</v>
      </c>
    </row>
    <row r="343" spans="1:9" x14ac:dyDescent="0.2">
      <c r="A343" s="12" t="s">
        <v>166</v>
      </c>
      <c r="B343" s="13" t="s">
        <v>137</v>
      </c>
      <c r="C343" s="14" t="s">
        <v>27</v>
      </c>
      <c r="D343" s="12">
        <v>60</v>
      </c>
      <c r="E343" s="14">
        <v>5</v>
      </c>
      <c r="F343" s="15">
        <v>0.69</v>
      </c>
      <c r="G343" s="14">
        <v>808</v>
      </c>
      <c r="H343" s="16">
        <f t="shared" si="14"/>
        <v>0.25720175200000001</v>
      </c>
      <c r="I343" s="17" t="s">
        <v>148</v>
      </c>
    </row>
    <row r="344" spans="1:9" x14ac:dyDescent="0.2">
      <c r="A344" s="12" t="s">
        <v>166</v>
      </c>
      <c r="B344" s="13" t="s">
        <v>137</v>
      </c>
      <c r="C344" s="14" t="s">
        <v>27</v>
      </c>
      <c r="D344" s="12">
        <v>60</v>
      </c>
      <c r="E344" s="14">
        <v>7</v>
      </c>
      <c r="F344" s="15">
        <v>0.85</v>
      </c>
      <c r="G344" s="14">
        <v>1038</v>
      </c>
      <c r="H344" s="16">
        <f t="shared" si="14"/>
        <v>0.33041512200000001</v>
      </c>
      <c r="I344" s="17" t="s">
        <v>148</v>
      </c>
    </row>
    <row r="345" spans="1:9" x14ac:dyDescent="0.2">
      <c r="A345" s="12" t="s">
        <v>166</v>
      </c>
      <c r="B345" s="13" t="s">
        <v>137</v>
      </c>
      <c r="C345" s="14" t="s">
        <v>27</v>
      </c>
      <c r="D345" s="12">
        <v>60</v>
      </c>
      <c r="E345" s="14">
        <v>10</v>
      </c>
      <c r="F345" s="15">
        <v>0.96</v>
      </c>
      <c r="G345" s="14">
        <v>1200</v>
      </c>
      <c r="H345" s="16">
        <f t="shared" si="14"/>
        <v>0.38198280000000001</v>
      </c>
      <c r="I345" s="17" t="s">
        <v>148</v>
      </c>
    </row>
    <row r="346" spans="1:9" x14ac:dyDescent="0.2">
      <c r="A346" s="48" t="s">
        <v>157</v>
      </c>
      <c r="B346" s="49" t="s">
        <v>158</v>
      </c>
      <c r="C346" s="50" t="s">
        <v>30</v>
      </c>
      <c r="D346" s="50">
        <v>60</v>
      </c>
      <c r="E346" s="51">
        <v>0</v>
      </c>
      <c r="F346" s="52">
        <v>0</v>
      </c>
      <c r="G346" s="53">
        <v>-10</v>
      </c>
      <c r="H346" s="54">
        <f t="shared" ref="H346:H409" si="15">G346/1000*0.318319</f>
        <v>-3.1831900000000002E-3</v>
      </c>
      <c r="I346" s="55" t="s">
        <v>159</v>
      </c>
    </row>
    <row r="347" spans="1:9" x14ac:dyDescent="0.2">
      <c r="A347" s="48" t="s">
        <v>157</v>
      </c>
      <c r="B347" s="49" t="s">
        <v>155</v>
      </c>
      <c r="C347" s="50" t="s">
        <v>30</v>
      </c>
      <c r="D347" s="50">
        <v>60</v>
      </c>
      <c r="E347" s="51">
        <v>1</v>
      </c>
      <c r="F347" s="52">
        <v>0.15</v>
      </c>
      <c r="G347" s="53">
        <v>20</v>
      </c>
      <c r="H347" s="54">
        <f t="shared" si="15"/>
        <v>6.3663800000000005E-3</v>
      </c>
      <c r="I347" s="55" t="s">
        <v>159</v>
      </c>
    </row>
    <row r="348" spans="1:9" x14ac:dyDescent="0.2">
      <c r="A348" s="48" t="s">
        <v>157</v>
      </c>
      <c r="B348" s="49" t="s">
        <v>155</v>
      </c>
      <c r="C348" s="50" t="s">
        <v>30</v>
      </c>
      <c r="D348" s="50">
        <v>60</v>
      </c>
      <c r="E348" s="51">
        <v>2</v>
      </c>
      <c r="F348" s="52">
        <v>0.3</v>
      </c>
      <c r="G348" s="53">
        <v>109</v>
      </c>
      <c r="H348" s="54">
        <f t="shared" si="15"/>
        <v>3.4696771000000001E-2</v>
      </c>
      <c r="I348" s="55" t="s">
        <v>159</v>
      </c>
    </row>
    <row r="349" spans="1:9" x14ac:dyDescent="0.2">
      <c r="A349" s="48" t="s">
        <v>157</v>
      </c>
      <c r="B349" s="49" t="s">
        <v>155</v>
      </c>
      <c r="C349" s="50" t="s">
        <v>30</v>
      </c>
      <c r="D349" s="50">
        <v>60</v>
      </c>
      <c r="E349" s="51">
        <v>3</v>
      </c>
      <c r="F349" s="52">
        <v>0.44</v>
      </c>
      <c r="G349" s="53">
        <v>198</v>
      </c>
      <c r="H349" s="54">
        <f t="shared" si="15"/>
        <v>6.3027162000000012E-2</v>
      </c>
      <c r="I349" s="55" t="s">
        <v>159</v>
      </c>
    </row>
    <row r="350" spans="1:9" x14ac:dyDescent="0.2">
      <c r="A350" s="48" t="s">
        <v>157</v>
      </c>
      <c r="B350" s="49" t="s">
        <v>155</v>
      </c>
      <c r="C350" s="50" t="s">
        <v>30</v>
      </c>
      <c r="D350" s="50">
        <v>60</v>
      </c>
      <c r="E350" s="51">
        <v>4</v>
      </c>
      <c r="F350" s="52">
        <v>0.56999999999999995</v>
      </c>
      <c r="G350" s="53">
        <v>278</v>
      </c>
      <c r="H350" s="54">
        <f t="shared" si="15"/>
        <v>8.8492682000000017E-2</v>
      </c>
      <c r="I350" s="55" t="s">
        <v>159</v>
      </c>
    </row>
    <row r="351" spans="1:9" x14ac:dyDescent="0.2">
      <c r="A351" s="48" t="s">
        <v>157</v>
      </c>
      <c r="B351" s="49" t="s">
        <v>155</v>
      </c>
      <c r="C351" s="50" t="s">
        <v>30</v>
      </c>
      <c r="D351" s="50">
        <v>60</v>
      </c>
      <c r="E351" s="51">
        <v>5</v>
      </c>
      <c r="F351" s="52">
        <v>0.7</v>
      </c>
      <c r="G351" s="53">
        <v>339</v>
      </c>
      <c r="H351" s="54">
        <f t="shared" si="15"/>
        <v>0.10791014100000001</v>
      </c>
      <c r="I351" s="55" t="s">
        <v>159</v>
      </c>
    </row>
    <row r="352" spans="1:9" x14ac:dyDescent="0.2">
      <c r="A352" s="48" t="s">
        <v>157</v>
      </c>
      <c r="B352" s="49" t="s">
        <v>155</v>
      </c>
      <c r="C352" s="50" t="s">
        <v>30</v>
      </c>
      <c r="D352" s="50">
        <v>60</v>
      </c>
      <c r="E352" s="51">
        <v>7</v>
      </c>
      <c r="F352" s="52">
        <v>0.86</v>
      </c>
      <c r="G352" s="53">
        <v>417</v>
      </c>
      <c r="H352" s="54">
        <f t="shared" si="15"/>
        <v>0.13273902300000001</v>
      </c>
      <c r="I352" s="55" t="s">
        <v>159</v>
      </c>
    </row>
    <row r="353" spans="1:9" x14ac:dyDescent="0.2">
      <c r="A353" s="48" t="s">
        <v>157</v>
      </c>
      <c r="B353" s="49" t="s">
        <v>155</v>
      </c>
      <c r="C353" s="50" t="s">
        <v>30</v>
      </c>
      <c r="D353" s="50">
        <v>60</v>
      </c>
      <c r="E353" s="51">
        <v>10</v>
      </c>
      <c r="F353" s="52">
        <v>0.96</v>
      </c>
      <c r="G353" s="53">
        <v>459</v>
      </c>
      <c r="H353" s="54">
        <f t="shared" si="15"/>
        <v>0.14610842100000002</v>
      </c>
      <c r="I353" s="55" t="s">
        <v>159</v>
      </c>
    </row>
    <row r="354" spans="1:9" x14ac:dyDescent="0.2">
      <c r="A354" s="8" t="s">
        <v>154</v>
      </c>
      <c r="B354" s="7" t="s">
        <v>156</v>
      </c>
      <c r="C354" s="56" t="s">
        <v>30</v>
      </c>
      <c r="D354" s="56">
        <v>60</v>
      </c>
      <c r="E354" s="57">
        <v>0</v>
      </c>
      <c r="F354" s="9">
        <v>0</v>
      </c>
      <c r="G354" s="8">
        <v>219</v>
      </c>
      <c r="H354" s="10">
        <f t="shared" si="15"/>
        <v>6.9711861E-2</v>
      </c>
      <c r="I354" s="58" t="s">
        <v>159</v>
      </c>
    </row>
    <row r="355" spans="1:9" x14ac:dyDescent="0.2">
      <c r="A355" s="8" t="s">
        <v>154</v>
      </c>
      <c r="B355" s="7" t="s">
        <v>156</v>
      </c>
      <c r="C355" s="56" t="s">
        <v>30</v>
      </c>
      <c r="D355" s="56">
        <v>60</v>
      </c>
      <c r="E355" s="57">
        <v>1</v>
      </c>
      <c r="F355" s="9">
        <v>0.15</v>
      </c>
      <c r="G355" s="8">
        <v>268</v>
      </c>
      <c r="H355" s="10">
        <f t="shared" si="15"/>
        <v>8.5309492000000015E-2</v>
      </c>
      <c r="I355" s="58" t="s">
        <v>159</v>
      </c>
    </row>
    <row r="356" spans="1:9" x14ac:dyDescent="0.2">
      <c r="A356" s="8" t="s">
        <v>154</v>
      </c>
      <c r="B356" s="7" t="s">
        <v>156</v>
      </c>
      <c r="C356" s="56" t="s">
        <v>30</v>
      </c>
      <c r="D356" s="56">
        <v>60</v>
      </c>
      <c r="E356" s="57">
        <v>2</v>
      </c>
      <c r="F356" s="9">
        <v>0.3</v>
      </c>
      <c r="G356" s="8">
        <v>360</v>
      </c>
      <c r="H356" s="10">
        <f t="shared" si="15"/>
        <v>0.11459484</v>
      </c>
      <c r="I356" s="58" t="s">
        <v>159</v>
      </c>
    </row>
    <row r="357" spans="1:9" x14ac:dyDescent="0.2">
      <c r="A357" s="8" t="s">
        <v>154</v>
      </c>
      <c r="B357" s="7" t="s">
        <v>156</v>
      </c>
      <c r="C357" s="56" t="s">
        <v>30</v>
      </c>
      <c r="D357" s="56">
        <v>60</v>
      </c>
      <c r="E357" s="57">
        <v>3</v>
      </c>
      <c r="F357" s="9">
        <v>0.44</v>
      </c>
      <c r="G357" s="8">
        <v>438</v>
      </c>
      <c r="H357" s="10">
        <f t="shared" si="15"/>
        <v>0.139423722</v>
      </c>
      <c r="I357" s="58" t="s">
        <v>159</v>
      </c>
    </row>
    <row r="358" spans="1:9" x14ac:dyDescent="0.2">
      <c r="A358" s="8" t="s">
        <v>154</v>
      </c>
      <c r="B358" s="7" t="s">
        <v>156</v>
      </c>
      <c r="C358" s="56" t="s">
        <v>30</v>
      </c>
      <c r="D358" s="56">
        <v>60</v>
      </c>
      <c r="E358" s="57">
        <v>4</v>
      </c>
      <c r="F358" s="9">
        <v>0.56999999999999995</v>
      </c>
      <c r="G358" s="8">
        <v>507</v>
      </c>
      <c r="H358" s="10">
        <f t="shared" si="15"/>
        <v>0.16138773300000001</v>
      </c>
      <c r="I358" s="58" t="s">
        <v>159</v>
      </c>
    </row>
    <row r="359" spans="1:9" x14ac:dyDescent="0.2">
      <c r="A359" s="8" t="s">
        <v>154</v>
      </c>
      <c r="B359" s="7" t="s">
        <v>156</v>
      </c>
      <c r="C359" s="56" t="s">
        <v>30</v>
      </c>
      <c r="D359" s="56">
        <v>60</v>
      </c>
      <c r="E359" s="57">
        <v>5</v>
      </c>
      <c r="F359" s="9">
        <v>0.7</v>
      </c>
      <c r="G359" s="8">
        <v>579</v>
      </c>
      <c r="H359" s="10">
        <f t="shared" si="15"/>
        <v>0.18430670099999999</v>
      </c>
      <c r="I359" s="58" t="s">
        <v>159</v>
      </c>
    </row>
    <row r="360" spans="1:9" x14ac:dyDescent="0.2">
      <c r="A360" s="8" t="s">
        <v>154</v>
      </c>
      <c r="B360" s="7" t="s">
        <v>156</v>
      </c>
      <c r="C360" s="56" t="s">
        <v>30</v>
      </c>
      <c r="D360" s="56">
        <v>60</v>
      </c>
      <c r="E360" s="57">
        <v>7</v>
      </c>
      <c r="F360" s="9">
        <v>0.86</v>
      </c>
      <c r="G360" s="8">
        <v>660</v>
      </c>
      <c r="H360" s="10">
        <f t="shared" si="15"/>
        <v>0.21009054000000002</v>
      </c>
      <c r="I360" s="58" t="s">
        <v>159</v>
      </c>
    </row>
    <row r="361" spans="1:9" x14ac:dyDescent="0.2">
      <c r="A361" s="8" t="s">
        <v>154</v>
      </c>
      <c r="B361" s="7" t="s">
        <v>156</v>
      </c>
      <c r="C361" s="56" t="s">
        <v>30</v>
      </c>
      <c r="D361" s="56">
        <v>60</v>
      </c>
      <c r="E361" s="57">
        <v>10</v>
      </c>
      <c r="F361" s="9">
        <v>0.97</v>
      </c>
      <c r="G361" s="8">
        <v>721</v>
      </c>
      <c r="H361" s="10">
        <f t="shared" si="15"/>
        <v>0.22950799900000002</v>
      </c>
      <c r="I361" s="58" t="s">
        <v>159</v>
      </c>
    </row>
    <row r="362" spans="1:9" x14ac:dyDescent="0.2">
      <c r="A362" s="59" t="s">
        <v>65</v>
      </c>
      <c r="B362" s="60" t="s">
        <v>162</v>
      </c>
      <c r="C362" s="61" t="s">
        <v>32</v>
      </c>
      <c r="D362" s="61">
        <v>60</v>
      </c>
      <c r="E362" s="62">
        <v>0</v>
      </c>
      <c r="F362" s="63">
        <v>0</v>
      </c>
      <c r="G362" s="59">
        <v>-43</v>
      </c>
      <c r="H362" s="64">
        <f>G362/1000*0.318319</f>
        <v>-1.3687717E-2</v>
      </c>
      <c r="I362" s="65" t="s">
        <v>163</v>
      </c>
    </row>
    <row r="363" spans="1:9" x14ac:dyDescent="0.2">
      <c r="A363" s="59" t="s">
        <v>65</v>
      </c>
      <c r="B363" s="60" t="s">
        <v>162</v>
      </c>
      <c r="C363" s="61" t="s">
        <v>32</v>
      </c>
      <c r="D363" s="61">
        <v>60</v>
      </c>
      <c r="E363" s="62">
        <v>1</v>
      </c>
      <c r="F363" s="63">
        <v>0.16</v>
      </c>
      <c r="G363" s="59">
        <v>-31</v>
      </c>
      <c r="H363" s="64">
        <f t="shared" ref="H363:H369" si="16">G363/1000*0.318319</f>
        <v>-9.8678890000000012E-3</v>
      </c>
      <c r="I363" s="65" t="s">
        <v>163</v>
      </c>
    </row>
    <row r="364" spans="1:9" x14ac:dyDescent="0.2">
      <c r="A364" s="59" t="s">
        <v>164</v>
      </c>
      <c r="B364" s="60" t="s">
        <v>162</v>
      </c>
      <c r="C364" s="61" t="s">
        <v>32</v>
      </c>
      <c r="D364" s="61">
        <v>60</v>
      </c>
      <c r="E364" s="62">
        <v>2</v>
      </c>
      <c r="F364" s="63">
        <v>0.32</v>
      </c>
      <c r="G364" s="59">
        <v>137</v>
      </c>
      <c r="H364" s="64">
        <f t="shared" si="16"/>
        <v>4.3609703000000007E-2</v>
      </c>
      <c r="I364" s="65" t="s">
        <v>165</v>
      </c>
    </row>
    <row r="365" spans="1:9" x14ac:dyDescent="0.2">
      <c r="A365" s="59" t="s">
        <v>164</v>
      </c>
      <c r="B365" s="60" t="s">
        <v>162</v>
      </c>
      <c r="C365" s="61" t="s">
        <v>32</v>
      </c>
      <c r="D365" s="61">
        <v>60</v>
      </c>
      <c r="E365" s="62">
        <v>3</v>
      </c>
      <c r="F365" s="63">
        <v>0.47</v>
      </c>
      <c r="G365" s="59">
        <v>226</v>
      </c>
      <c r="H365" s="64">
        <f t="shared" si="16"/>
        <v>7.194009400000001E-2</v>
      </c>
      <c r="I365" s="65" t="s">
        <v>165</v>
      </c>
    </row>
    <row r="366" spans="1:9" x14ac:dyDescent="0.2">
      <c r="A366" s="59" t="s">
        <v>164</v>
      </c>
      <c r="B366" s="60" t="s">
        <v>162</v>
      </c>
      <c r="C366" s="61" t="s">
        <v>32</v>
      </c>
      <c r="D366" s="61">
        <v>60</v>
      </c>
      <c r="E366" s="62">
        <v>4</v>
      </c>
      <c r="F366" s="63">
        <v>0.61</v>
      </c>
      <c r="G366" s="59">
        <v>336</v>
      </c>
      <c r="H366" s="64">
        <f t="shared" si="16"/>
        <v>0.10695518400000001</v>
      </c>
      <c r="I366" s="65" t="s">
        <v>165</v>
      </c>
    </row>
    <row r="367" spans="1:9" x14ac:dyDescent="0.2">
      <c r="A367" s="59" t="s">
        <v>164</v>
      </c>
      <c r="B367" s="60" t="s">
        <v>162</v>
      </c>
      <c r="C367" s="61" t="s">
        <v>32</v>
      </c>
      <c r="D367" s="61">
        <v>60</v>
      </c>
      <c r="E367" s="62">
        <v>5</v>
      </c>
      <c r="F367" s="63">
        <v>0.74</v>
      </c>
      <c r="G367" s="59">
        <v>457</v>
      </c>
      <c r="H367" s="64">
        <f t="shared" si="16"/>
        <v>0.14547178300000002</v>
      </c>
      <c r="I367" s="65" t="s">
        <v>165</v>
      </c>
    </row>
    <row r="368" spans="1:9" x14ac:dyDescent="0.2">
      <c r="A368" s="59" t="s">
        <v>164</v>
      </c>
      <c r="B368" s="60" t="s">
        <v>162</v>
      </c>
      <c r="C368" s="61" t="s">
        <v>32</v>
      </c>
      <c r="D368" s="61">
        <v>60</v>
      </c>
      <c r="E368" s="62">
        <v>7</v>
      </c>
      <c r="F368" s="63">
        <v>0.91</v>
      </c>
      <c r="G368" s="59">
        <v>608</v>
      </c>
      <c r="H368" s="64">
        <f t="shared" si="16"/>
        <v>0.19353795200000001</v>
      </c>
      <c r="I368" s="65" t="s">
        <v>165</v>
      </c>
    </row>
    <row r="369" spans="1:9" x14ac:dyDescent="0.2">
      <c r="A369" s="59" t="s">
        <v>164</v>
      </c>
      <c r="B369" s="60" t="s">
        <v>162</v>
      </c>
      <c r="C369" s="61" t="s">
        <v>32</v>
      </c>
      <c r="D369" s="61">
        <v>60</v>
      </c>
      <c r="E369" s="62">
        <v>10</v>
      </c>
      <c r="F369" s="63">
        <v>1.02</v>
      </c>
      <c r="G369" s="59">
        <v>668</v>
      </c>
      <c r="H369" s="64">
        <f t="shared" si="16"/>
        <v>0.21263709200000003</v>
      </c>
      <c r="I369" s="65" t="s">
        <v>165</v>
      </c>
    </row>
    <row r="370" spans="1:9" x14ac:dyDescent="0.2">
      <c r="A370" s="66" t="s">
        <v>166</v>
      </c>
      <c r="B370" s="41" t="s">
        <v>137</v>
      </c>
      <c r="C370" s="67" t="s">
        <v>32</v>
      </c>
      <c r="D370" s="67">
        <v>60</v>
      </c>
      <c r="E370" s="68">
        <v>0</v>
      </c>
      <c r="F370" s="44">
        <v>0</v>
      </c>
      <c r="G370" s="66">
        <v>25</v>
      </c>
      <c r="H370" s="46">
        <f t="shared" si="15"/>
        <v>7.9579750000000008E-3</v>
      </c>
      <c r="I370" s="69" t="s">
        <v>165</v>
      </c>
    </row>
    <row r="371" spans="1:9" x14ac:dyDescent="0.2">
      <c r="A371" s="66" t="s">
        <v>166</v>
      </c>
      <c r="B371" s="41" t="s">
        <v>137</v>
      </c>
      <c r="C371" s="67" t="s">
        <v>32</v>
      </c>
      <c r="D371" s="67">
        <v>60</v>
      </c>
      <c r="E371" s="68">
        <v>1</v>
      </c>
      <c r="F371" s="44">
        <v>0.16</v>
      </c>
      <c r="G371" s="66">
        <v>56</v>
      </c>
      <c r="H371" s="46">
        <f t="shared" si="15"/>
        <v>1.7825864E-2</v>
      </c>
      <c r="I371" s="69" t="s">
        <v>165</v>
      </c>
    </row>
    <row r="372" spans="1:9" x14ac:dyDescent="0.2">
      <c r="A372" s="66" t="s">
        <v>167</v>
      </c>
      <c r="B372" s="41" t="s">
        <v>147</v>
      </c>
      <c r="C372" s="67" t="s">
        <v>32</v>
      </c>
      <c r="D372" s="67">
        <v>60</v>
      </c>
      <c r="E372" s="68">
        <v>2</v>
      </c>
      <c r="F372" s="44">
        <v>0.32</v>
      </c>
      <c r="G372" s="66">
        <v>147</v>
      </c>
      <c r="H372" s="46">
        <f t="shared" si="15"/>
        <v>4.6792893000000002E-2</v>
      </c>
      <c r="I372" s="69" t="s">
        <v>165</v>
      </c>
    </row>
    <row r="373" spans="1:9" x14ac:dyDescent="0.2">
      <c r="A373" s="66" t="s">
        <v>167</v>
      </c>
      <c r="B373" s="41" t="s">
        <v>147</v>
      </c>
      <c r="C373" s="67" t="s">
        <v>32</v>
      </c>
      <c r="D373" s="67">
        <v>60</v>
      </c>
      <c r="E373" s="68">
        <v>3</v>
      </c>
      <c r="F373" s="44">
        <v>0.46</v>
      </c>
      <c r="G373" s="66">
        <v>237</v>
      </c>
      <c r="H373" s="46">
        <f t="shared" si="15"/>
        <v>7.5441602999999996E-2</v>
      </c>
      <c r="I373" s="69" t="s">
        <v>165</v>
      </c>
    </row>
    <row r="374" spans="1:9" x14ac:dyDescent="0.2">
      <c r="A374" s="66" t="s">
        <v>167</v>
      </c>
      <c r="B374" s="41" t="s">
        <v>147</v>
      </c>
      <c r="C374" s="67" t="s">
        <v>32</v>
      </c>
      <c r="D374" s="67">
        <v>60</v>
      </c>
      <c r="E374" s="68">
        <v>4</v>
      </c>
      <c r="F374" s="44">
        <v>0.61</v>
      </c>
      <c r="G374" s="66">
        <v>327</v>
      </c>
      <c r="H374" s="46">
        <f t="shared" si="15"/>
        <v>0.104090313</v>
      </c>
      <c r="I374" s="69" t="s">
        <v>165</v>
      </c>
    </row>
    <row r="375" spans="1:9" x14ac:dyDescent="0.2">
      <c r="A375" s="66" t="s">
        <v>167</v>
      </c>
      <c r="B375" s="41" t="s">
        <v>147</v>
      </c>
      <c r="C375" s="67" t="s">
        <v>32</v>
      </c>
      <c r="D375" s="67">
        <v>60</v>
      </c>
      <c r="E375" s="68">
        <v>5</v>
      </c>
      <c r="F375" s="44">
        <v>0.74</v>
      </c>
      <c r="G375" s="66">
        <v>456</v>
      </c>
      <c r="H375" s="46">
        <f t="shared" si="15"/>
        <v>0.14515346400000001</v>
      </c>
      <c r="I375" s="69" t="s">
        <v>165</v>
      </c>
    </row>
    <row r="376" spans="1:9" x14ac:dyDescent="0.2">
      <c r="A376" s="66" t="s">
        <v>167</v>
      </c>
      <c r="B376" s="41" t="s">
        <v>147</v>
      </c>
      <c r="C376" s="67" t="s">
        <v>32</v>
      </c>
      <c r="D376" s="67">
        <v>60</v>
      </c>
      <c r="E376" s="68">
        <v>7</v>
      </c>
      <c r="F376" s="44">
        <v>0.9</v>
      </c>
      <c r="G376" s="66">
        <v>618</v>
      </c>
      <c r="H376" s="46">
        <f t="shared" si="15"/>
        <v>0.19672114200000002</v>
      </c>
      <c r="I376" s="69" t="s">
        <v>165</v>
      </c>
    </row>
    <row r="377" spans="1:9" x14ac:dyDescent="0.2">
      <c r="A377" s="66" t="s">
        <v>167</v>
      </c>
      <c r="B377" s="41" t="s">
        <v>147</v>
      </c>
      <c r="C377" s="67" t="s">
        <v>32</v>
      </c>
      <c r="D377" s="67">
        <v>60</v>
      </c>
      <c r="E377" s="68">
        <v>10</v>
      </c>
      <c r="F377" s="44">
        <v>1.02</v>
      </c>
      <c r="G377" s="66">
        <v>728</v>
      </c>
      <c r="H377" s="46">
        <f t="shared" si="15"/>
        <v>0.23173623200000001</v>
      </c>
      <c r="I377" s="69" t="s">
        <v>165</v>
      </c>
    </row>
    <row r="378" spans="1:9" x14ac:dyDescent="0.2">
      <c r="A378" s="53" t="s">
        <v>168</v>
      </c>
      <c r="B378" s="49" t="s">
        <v>161</v>
      </c>
      <c r="C378" s="70" t="s">
        <v>27</v>
      </c>
      <c r="D378" s="70">
        <v>60</v>
      </c>
      <c r="E378" s="71">
        <v>0</v>
      </c>
      <c r="F378" s="52">
        <v>0</v>
      </c>
      <c r="G378" s="72">
        <v>-15</v>
      </c>
      <c r="H378" s="54">
        <f t="shared" si="15"/>
        <v>-4.7747850000000001E-3</v>
      </c>
      <c r="I378" s="73" t="s">
        <v>165</v>
      </c>
    </row>
    <row r="379" spans="1:9" x14ac:dyDescent="0.2">
      <c r="A379" s="53" t="s">
        <v>168</v>
      </c>
      <c r="B379" s="49" t="s">
        <v>169</v>
      </c>
      <c r="C379" s="70" t="s">
        <v>27</v>
      </c>
      <c r="D379" s="70">
        <v>60</v>
      </c>
      <c r="E379" s="71">
        <v>1</v>
      </c>
      <c r="F379" s="52">
        <v>0.14000000000000001</v>
      </c>
      <c r="G379" s="72">
        <v>16</v>
      </c>
      <c r="H379" s="54">
        <f t="shared" si="15"/>
        <v>5.0931040000000002E-3</v>
      </c>
      <c r="I379" s="73" t="s">
        <v>165</v>
      </c>
    </row>
    <row r="380" spans="1:9" x14ac:dyDescent="0.2">
      <c r="A380" s="53" t="s">
        <v>168</v>
      </c>
      <c r="B380" s="49" t="s">
        <v>169</v>
      </c>
      <c r="C380" s="70" t="s">
        <v>30</v>
      </c>
      <c r="D380" s="70">
        <v>60</v>
      </c>
      <c r="E380" s="71">
        <v>2</v>
      </c>
      <c r="F380" s="52">
        <v>0.28000000000000003</v>
      </c>
      <c r="G380" s="72">
        <v>74</v>
      </c>
      <c r="H380" s="54">
        <f t="shared" si="15"/>
        <v>2.3555606E-2</v>
      </c>
      <c r="I380" s="73" t="s">
        <v>165</v>
      </c>
    </row>
    <row r="381" spans="1:9" x14ac:dyDescent="0.2">
      <c r="A381" s="53" t="s">
        <v>168</v>
      </c>
      <c r="B381" s="49" t="s">
        <v>169</v>
      </c>
      <c r="C381" s="70" t="s">
        <v>30</v>
      </c>
      <c r="D381" s="70">
        <v>60</v>
      </c>
      <c r="E381" s="71">
        <v>3</v>
      </c>
      <c r="F381" s="52">
        <v>0.42</v>
      </c>
      <c r="G381" s="72">
        <v>135</v>
      </c>
      <c r="H381" s="54">
        <f t="shared" si="15"/>
        <v>4.2973065000000005E-2</v>
      </c>
      <c r="I381" s="73" t="s">
        <v>165</v>
      </c>
    </row>
    <row r="382" spans="1:9" x14ac:dyDescent="0.2">
      <c r="A382" s="53" t="s">
        <v>168</v>
      </c>
      <c r="B382" s="49" t="s">
        <v>169</v>
      </c>
      <c r="C382" s="70" t="s">
        <v>30</v>
      </c>
      <c r="D382" s="70">
        <v>60</v>
      </c>
      <c r="E382" s="71">
        <v>4</v>
      </c>
      <c r="F382" s="52">
        <v>0.55000000000000004</v>
      </c>
      <c r="G382" s="72">
        <v>193</v>
      </c>
      <c r="H382" s="54">
        <f t="shared" si="15"/>
        <v>6.1435567000000003E-2</v>
      </c>
      <c r="I382" s="73" t="s">
        <v>165</v>
      </c>
    </row>
    <row r="383" spans="1:9" x14ac:dyDescent="0.2">
      <c r="A383" s="53" t="s">
        <v>168</v>
      </c>
      <c r="B383" s="49" t="s">
        <v>169</v>
      </c>
      <c r="C383" s="70" t="s">
        <v>30</v>
      </c>
      <c r="D383" s="70">
        <v>60</v>
      </c>
      <c r="E383" s="71">
        <v>5</v>
      </c>
      <c r="F383" s="52">
        <v>0.67</v>
      </c>
      <c r="G383" s="72">
        <v>256</v>
      </c>
      <c r="H383" s="54">
        <f t="shared" si="15"/>
        <v>8.1489664000000003E-2</v>
      </c>
      <c r="I383" s="73" t="s">
        <v>165</v>
      </c>
    </row>
    <row r="384" spans="1:9" x14ac:dyDescent="0.2">
      <c r="A384" s="53" t="s">
        <v>160</v>
      </c>
      <c r="B384" s="49" t="s">
        <v>169</v>
      </c>
      <c r="C384" s="70" t="s">
        <v>30</v>
      </c>
      <c r="D384" s="70">
        <v>60</v>
      </c>
      <c r="E384" s="71">
        <v>7</v>
      </c>
      <c r="F384" s="52">
        <v>0.83</v>
      </c>
      <c r="G384" s="72">
        <v>333</v>
      </c>
      <c r="H384" s="54">
        <f t="shared" si="15"/>
        <v>0.10600022700000002</v>
      </c>
      <c r="I384" s="73" t="s">
        <v>165</v>
      </c>
    </row>
    <row r="385" spans="1:9" x14ac:dyDescent="0.2">
      <c r="A385" s="53" t="s">
        <v>160</v>
      </c>
      <c r="B385" s="49" t="s">
        <v>169</v>
      </c>
      <c r="C385" s="70" t="s">
        <v>30</v>
      </c>
      <c r="D385" s="70">
        <v>60</v>
      </c>
      <c r="E385" s="71">
        <v>10</v>
      </c>
      <c r="F385" s="52">
        <v>0.94</v>
      </c>
      <c r="G385" s="72">
        <v>376</v>
      </c>
      <c r="H385" s="54">
        <f t="shared" si="15"/>
        <v>0.119687944</v>
      </c>
      <c r="I385" s="73" t="s">
        <v>165</v>
      </c>
    </row>
    <row r="386" spans="1:9" x14ac:dyDescent="0.2">
      <c r="A386" s="74" t="s">
        <v>140</v>
      </c>
      <c r="B386" s="60" t="s">
        <v>142</v>
      </c>
      <c r="C386" s="61" t="s">
        <v>7</v>
      </c>
      <c r="D386" s="61">
        <v>60</v>
      </c>
      <c r="E386" s="62">
        <v>0</v>
      </c>
      <c r="F386" s="63">
        <v>0</v>
      </c>
      <c r="G386" s="74">
        <v>179</v>
      </c>
      <c r="H386" s="64">
        <f t="shared" si="15"/>
        <v>5.6979101000000004E-2</v>
      </c>
      <c r="I386" s="65" t="s">
        <v>165</v>
      </c>
    </row>
    <row r="387" spans="1:9" x14ac:dyDescent="0.2">
      <c r="A387" s="74" t="s">
        <v>140</v>
      </c>
      <c r="B387" s="60" t="s">
        <v>142</v>
      </c>
      <c r="C387" s="61" t="s">
        <v>7</v>
      </c>
      <c r="D387" s="61">
        <v>60</v>
      </c>
      <c r="E387" s="62">
        <v>1</v>
      </c>
      <c r="F387" s="63">
        <v>0.17</v>
      </c>
      <c r="G387" s="74">
        <v>328</v>
      </c>
      <c r="H387" s="64">
        <f t="shared" si="15"/>
        <v>0.10440863200000002</v>
      </c>
      <c r="I387" s="65" t="s">
        <v>165</v>
      </c>
    </row>
    <row r="388" spans="1:9" x14ac:dyDescent="0.2">
      <c r="A388" s="74" t="s">
        <v>139</v>
      </c>
      <c r="B388" s="60" t="s">
        <v>141</v>
      </c>
      <c r="C388" s="61" t="s">
        <v>18</v>
      </c>
      <c r="D388" s="61">
        <v>60</v>
      </c>
      <c r="E388" s="62">
        <v>2</v>
      </c>
      <c r="F388" s="63">
        <v>0.33</v>
      </c>
      <c r="G388" s="74">
        <v>539</v>
      </c>
      <c r="H388" s="64">
        <f t="shared" si="15"/>
        <v>0.17157394100000001</v>
      </c>
      <c r="I388" s="65" t="s">
        <v>165</v>
      </c>
    </row>
    <row r="389" spans="1:9" x14ac:dyDescent="0.2">
      <c r="A389" s="74" t="s">
        <v>139</v>
      </c>
      <c r="B389" s="60" t="s">
        <v>141</v>
      </c>
      <c r="C389" s="61" t="s">
        <v>18</v>
      </c>
      <c r="D389" s="61">
        <v>60</v>
      </c>
      <c r="E389" s="62">
        <v>3</v>
      </c>
      <c r="F389" s="63">
        <v>0.48</v>
      </c>
      <c r="G389" s="74">
        <v>770</v>
      </c>
      <c r="H389" s="64">
        <f t="shared" si="15"/>
        <v>0.24510563000000002</v>
      </c>
      <c r="I389" s="65" t="s">
        <v>165</v>
      </c>
    </row>
    <row r="390" spans="1:9" x14ac:dyDescent="0.2">
      <c r="A390" s="74" t="s">
        <v>139</v>
      </c>
      <c r="B390" s="60" t="s">
        <v>141</v>
      </c>
      <c r="C390" s="61" t="s">
        <v>18</v>
      </c>
      <c r="D390" s="61">
        <v>60</v>
      </c>
      <c r="E390" s="62">
        <v>4</v>
      </c>
      <c r="F390" s="63">
        <v>0.63</v>
      </c>
      <c r="G390" s="74">
        <v>982</v>
      </c>
      <c r="H390" s="64">
        <f t="shared" si="15"/>
        <v>0.31258925800000004</v>
      </c>
      <c r="I390" s="65" t="s">
        <v>165</v>
      </c>
    </row>
    <row r="391" spans="1:9" x14ac:dyDescent="0.2">
      <c r="A391" s="74" t="s">
        <v>139</v>
      </c>
      <c r="B391" s="60" t="s">
        <v>141</v>
      </c>
      <c r="C391" s="61" t="s">
        <v>18</v>
      </c>
      <c r="D391" s="61">
        <v>60</v>
      </c>
      <c r="E391" s="62">
        <v>5</v>
      </c>
      <c r="F391" s="63">
        <v>0.77</v>
      </c>
      <c r="G391" s="74">
        <v>1210</v>
      </c>
      <c r="H391" s="64">
        <f t="shared" si="15"/>
        <v>0.38516599000000001</v>
      </c>
      <c r="I391" s="65" t="s">
        <v>165</v>
      </c>
    </row>
    <row r="392" spans="1:9" x14ac:dyDescent="0.2">
      <c r="A392" s="74" t="s">
        <v>139</v>
      </c>
      <c r="B392" s="60" t="s">
        <v>141</v>
      </c>
      <c r="C392" s="61" t="s">
        <v>18</v>
      </c>
      <c r="D392" s="61">
        <v>60</v>
      </c>
      <c r="E392" s="62">
        <v>7</v>
      </c>
      <c r="F392" s="63">
        <v>0.93</v>
      </c>
      <c r="G392" s="74">
        <v>1482</v>
      </c>
      <c r="H392" s="64">
        <f t="shared" si="15"/>
        <v>0.47174875800000005</v>
      </c>
      <c r="I392" s="65" t="s">
        <v>165</v>
      </c>
    </row>
    <row r="393" spans="1:9" x14ac:dyDescent="0.2">
      <c r="A393" s="74" t="s">
        <v>139</v>
      </c>
      <c r="B393" s="60" t="s">
        <v>141</v>
      </c>
      <c r="C393" s="61" t="s">
        <v>18</v>
      </c>
      <c r="D393" s="61">
        <v>60</v>
      </c>
      <c r="E393" s="62">
        <v>10</v>
      </c>
      <c r="F393" s="63">
        <v>1.04</v>
      </c>
      <c r="G393" s="74">
        <v>1641</v>
      </c>
      <c r="H393" s="64">
        <f t="shared" si="15"/>
        <v>0.52236147900000007</v>
      </c>
      <c r="I393" s="65" t="s">
        <v>165</v>
      </c>
    </row>
    <row r="394" spans="1:9" x14ac:dyDescent="0.2">
      <c r="A394" s="40" t="s">
        <v>43</v>
      </c>
      <c r="B394" s="41" t="s">
        <v>40</v>
      </c>
      <c r="C394" s="67" t="s">
        <v>18</v>
      </c>
      <c r="D394" s="67">
        <v>60</v>
      </c>
      <c r="E394" s="68">
        <v>0</v>
      </c>
      <c r="F394" s="44">
        <v>0</v>
      </c>
      <c r="G394" s="40">
        <v>69</v>
      </c>
      <c r="H394" s="46">
        <f t="shared" si="15"/>
        <v>2.1964011000000002E-2</v>
      </c>
      <c r="I394" s="69" t="s">
        <v>165</v>
      </c>
    </row>
    <row r="395" spans="1:9" x14ac:dyDescent="0.2">
      <c r="A395" s="40" t="s">
        <v>43</v>
      </c>
      <c r="B395" s="41" t="s">
        <v>40</v>
      </c>
      <c r="C395" s="67" t="s">
        <v>18</v>
      </c>
      <c r="D395" s="67">
        <v>60</v>
      </c>
      <c r="E395" s="68">
        <v>1</v>
      </c>
      <c r="F395" s="44">
        <v>0.17</v>
      </c>
      <c r="G395" s="40">
        <v>308</v>
      </c>
      <c r="H395" s="46">
        <f t="shared" si="15"/>
        <v>9.804225200000001E-2</v>
      </c>
      <c r="I395" s="69" t="s">
        <v>165</v>
      </c>
    </row>
    <row r="396" spans="1:9" x14ac:dyDescent="0.2">
      <c r="A396" s="40" t="s">
        <v>60</v>
      </c>
      <c r="B396" s="41" t="s">
        <v>41</v>
      </c>
      <c r="C396" s="67" t="s">
        <v>18</v>
      </c>
      <c r="D396" s="67">
        <v>60</v>
      </c>
      <c r="E396" s="68">
        <v>2</v>
      </c>
      <c r="F396" s="44">
        <v>0.33</v>
      </c>
      <c r="G396" s="40">
        <v>539</v>
      </c>
      <c r="H396" s="46">
        <f t="shared" si="15"/>
        <v>0.17157394100000001</v>
      </c>
      <c r="I396" s="69" t="s">
        <v>165</v>
      </c>
    </row>
    <row r="397" spans="1:9" x14ac:dyDescent="0.2">
      <c r="A397" s="40" t="s">
        <v>60</v>
      </c>
      <c r="B397" s="41" t="s">
        <v>41</v>
      </c>
      <c r="C397" s="67" t="s">
        <v>18</v>
      </c>
      <c r="D397" s="67">
        <v>60</v>
      </c>
      <c r="E397" s="68">
        <v>3</v>
      </c>
      <c r="F397" s="44">
        <v>0.49</v>
      </c>
      <c r="G397" s="40">
        <v>734</v>
      </c>
      <c r="H397" s="46">
        <f t="shared" si="15"/>
        <v>0.233646146</v>
      </c>
      <c r="I397" s="69" t="s">
        <v>165</v>
      </c>
    </row>
    <row r="398" spans="1:9" x14ac:dyDescent="0.2">
      <c r="A398" s="40" t="s">
        <v>60</v>
      </c>
      <c r="B398" s="41" t="s">
        <v>41</v>
      </c>
      <c r="C398" s="67" t="s">
        <v>18</v>
      </c>
      <c r="D398" s="67">
        <v>60</v>
      </c>
      <c r="E398" s="68">
        <v>4</v>
      </c>
      <c r="F398" s="44">
        <v>0.64</v>
      </c>
      <c r="G398" s="40">
        <v>902</v>
      </c>
      <c r="H398" s="46">
        <f t="shared" si="15"/>
        <v>0.28712373800000002</v>
      </c>
      <c r="I398" s="69" t="s">
        <v>165</v>
      </c>
    </row>
    <row r="399" spans="1:9" x14ac:dyDescent="0.2">
      <c r="A399" s="40" t="s">
        <v>60</v>
      </c>
      <c r="B399" s="41" t="s">
        <v>41</v>
      </c>
      <c r="C399" s="67" t="s">
        <v>18</v>
      </c>
      <c r="D399" s="67">
        <v>60</v>
      </c>
      <c r="E399" s="68">
        <v>5</v>
      </c>
      <c r="F399" s="44">
        <v>0.78</v>
      </c>
      <c r="G399" s="40">
        <v>1081</v>
      </c>
      <c r="H399" s="46">
        <f t="shared" si="15"/>
        <v>0.34410283899999999</v>
      </c>
      <c r="I399" s="69" t="s">
        <v>165</v>
      </c>
    </row>
    <row r="400" spans="1:9" x14ac:dyDescent="0.2">
      <c r="A400" s="40" t="s">
        <v>60</v>
      </c>
      <c r="B400" s="41" t="s">
        <v>41</v>
      </c>
      <c r="C400" s="67" t="s">
        <v>18</v>
      </c>
      <c r="D400" s="67">
        <v>60</v>
      </c>
      <c r="E400" s="68">
        <v>7</v>
      </c>
      <c r="F400" s="44">
        <v>0.94</v>
      </c>
      <c r="G400" s="40">
        <v>1271</v>
      </c>
      <c r="H400" s="46">
        <f t="shared" si="15"/>
        <v>0.40458344899999998</v>
      </c>
      <c r="I400" s="69" t="s">
        <v>165</v>
      </c>
    </row>
    <row r="401" spans="1:9" x14ac:dyDescent="0.2">
      <c r="A401" s="40" t="s">
        <v>60</v>
      </c>
      <c r="B401" s="41" t="s">
        <v>41</v>
      </c>
      <c r="C401" s="67" t="s">
        <v>18</v>
      </c>
      <c r="D401" s="67">
        <v>60</v>
      </c>
      <c r="E401" s="68">
        <v>10</v>
      </c>
      <c r="F401" s="44">
        <v>1.05</v>
      </c>
      <c r="G401" s="40">
        <v>1433</v>
      </c>
      <c r="H401" s="46">
        <f t="shared" si="15"/>
        <v>0.45615112700000005</v>
      </c>
      <c r="I401" s="69" t="s">
        <v>165</v>
      </c>
    </row>
    <row r="402" spans="1:9" x14ac:dyDescent="0.2">
      <c r="A402" s="8" t="s">
        <v>105</v>
      </c>
      <c r="B402" s="7" t="s">
        <v>170</v>
      </c>
      <c r="C402" s="56" t="s">
        <v>18</v>
      </c>
      <c r="D402" s="56">
        <v>60</v>
      </c>
      <c r="E402" s="57">
        <v>0</v>
      </c>
      <c r="F402" s="9">
        <v>0</v>
      </c>
      <c r="G402" s="8">
        <v>20</v>
      </c>
      <c r="H402" s="10">
        <f t="shared" si="15"/>
        <v>6.3663800000000005E-3</v>
      </c>
      <c r="I402" s="58" t="s">
        <v>165</v>
      </c>
    </row>
    <row r="403" spans="1:9" x14ac:dyDescent="0.2">
      <c r="A403" s="8" t="s">
        <v>105</v>
      </c>
      <c r="B403" s="7" t="s">
        <v>104</v>
      </c>
      <c r="C403" s="56" t="s">
        <v>18</v>
      </c>
      <c r="D403" s="56">
        <v>60</v>
      </c>
      <c r="E403" s="57">
        <v>1</v>
      </c>
      <c r="F403" s="9">
        <v>0.17</v>
      </c>
      <c r="G403" s="8">
        <v>188</v>
      </c>
      <c r="H403" s="10">
        <f t="shared" si="15"/>
        <v>5.9843972000000002E-2</v>
      </c>
      <c r="I403" s="58" t="s">
        <v>165</v>
      </c>
    </row>
    <row r="404" spans="1:9" x14ac:dyDescent="0.2">
      <c r="A404" s="8" t="s">
        <v>98</v>
      </c>
      <c r="B404" s="7" t="s">
        <v>104</v>
      </c>
      <c r="C404" s="56" t="s">
        <v>18</v>
      </c>
      <c r="D404" s="56">
        <v>60</v>
      </c>
      <c r="E404" s="57">
        <v>2</v>
      </c>
      <c r="F404" s="9">
        <v>0.33</v>
      </c>
      <c r="G404" s="8">
        <v>449</v>
      </c>
      <c r="H404" s="10">
        <f t="shared" si="15"/>
        <v>0.14292523100000001</v>
      </c>
      <c r="I404" s="58" t="s">
        <v>165</v>
      </c>
    </row>
    <row r="405" spans="1:9" x14ac:dyDescent="0.2">
      <c r="A405" s="8" t="s">
        <v>98</v>
      </c>
      <c r="B405" s="7" t="s">
        <v>104</v>
      </c>
      <c r="C405" s="56" t="s">
        <v>18</v>
      </c>
      <c r="D405" s="56">
        <v>60</v>
      </c>
      <c r="E405" s="57">
        <v>3</v>
      </c>
      <c r="F405" s="9">
        <v>0.48</v>
      </c>
      <c r="G405" s="8">
        <v>691</v>
      </c>
      <c r="H405" s="10">
        <f t="shared" si="15"/>
        <v>0.21995842899999998</v>
      </c>
      <c r="I405" s="58" t="s">
        <v>165</v>
      </c>
    </row>
    <row r="406" spans="1:9" x14ac:dyDescent="0.2">
      <c r="A406" s="8" t="s">
        <v>98</v>
      </c>
      <c r="B406" s="7" t="s">
        <v>104</v>
      </c>
      <c r="C406" s="56" t="s">
        <v>18</v>
      </c>
      <c r="D406" s="56">
        <v>60</v>
      </c>
      <c r="E406" s="57">
        <v>4</v>
      </c>
      <c r="F406" s="9">
        <v>0.63</v>
      </c>
      <c r="G406" s="8">
        <v>911</v>
      </c>
      <c r="H406" s="10">
        <f t="shared" si="15"/>
        <v>0.28998860900000001</v>
      </c>
      <c r="I406" s="58" t="s">
        <v>165</v>
      </c>
    </row>
    <row r="407" spans="1:9" x14ac:dyDescent="0.2">
      <c r="A407" s="8" t="s">
        <v>98</v>
      </c>
      <c r="B407" s="7" t="s">
        <v>104</v>
      </c>
      <c r="C407" s="56" t="s">
        <v>18</v>
      </c>
      <c r="D407" s="56">
        <v>60</v>
      </c>
      <c r="E407" s="57">
        <v>5</v>
      </c>
      <c r="F407" s="9">
        <v>0.77</v>
      </c>
      <c r="G407" s="8">
        <v>1101</v>
      </c>
      <c r="H407" s="10">
        <f t="shared" si="15"/>
        <v>0.350469219</v>
      </c>
      <c r="I407" s="58" t="s">
        <v>165</v>
      </c>
    </row>
    <row r="408" spans="1:9" x14ac:dyDescent="0.2">
      <c r="A408" s="8" t="s">
        <v>98</v>
      </c>
      <c r="B408" s="7" t="s">
        <v>104</v>
      </c>
      <c r="C408" s="56" t="s">
        <v>18</v>
      </c>
      <c r="D408" s="56">
        <v>60</v>
      </c>
      <c r="E408" s="57">
        <v>7</v>
      </c>
      <c r="F408" s="9">
        <v>0.94</v>
      </c>
      <c r="G408" s="8">
        <v>1342</v>
      </c>
      <c r="H408" s="10">
        <f t="shared" si="15"/>
        <v>0.42718409800000007</v>
      </c>
      <c r="I408" s="58" t="s">
        <v>165</v>
      </c>
    </row>
    <row r="409" spans="1:9" x14ac:dyDescent="0.2">
      <c r="A409" s="8" t="s">
        <v>98</v>
      </c>
      <c r="B409" s="7" t="s">
        <v>104</v>
      </c>
      <c r="C409" s="56" t="s">
        <v>18</v>
      </c>
      <c r="D409" s="56">
        <v>60</v>
      </c>
      <c r="E409" s="57">
        <v>10</v>
      </c>
      <c r="F409" s="9">
        <v>1.04</v>
      </c>
      <c r="G409" s="8">
        <v>1482</v>
      </c>
      <c r="H409" s="10">
        <f t="shared" si="15"/>
        <v>0.47174875800000005</v>
      </c>
      <c r="I409" s="58" t="s">
        <v>165</v>
      </c>
    </row>
    <row r="410" spans="1:9" x14ac:dyDescent="0.2">
      <c r="A410" s="33" t="s">
        <v>65</v>
      </c>
      <c r="B410" s="32" t="s">
        <v>55</v>
      </c>
      <c r="C410" s="82" t="s">
        <v>18</v>
      </c>
      <c r="D410" s="82">
        <v>60</v>
      </c>
      <c r="E410" s="83">
        <v>0</v>
      </c>
      <c r="F410" s="34">
        <v>0</v>
      </c>
      <c r="G410" s="33">
        <v>138</v>
      </c>
      <c r="H410" s="35">
        <f t="shared" ref="H410:H473" si="17">G410/1000*0.318319</f>
        <v>4.3928022000000004E-2</v>
      </c>
      <c r="I410" s="84" t="s">
        <v>165</v>
      </c>
    </row>
    <row r="411" spans="1:9" x14ac:dyDescent="0.2">
      <c r="A411" s="33" t="s">
        <v>65</v>
      </c>
      <c r="B411" s="32" t="s">
        <v>162</v>
      </c>
      <c r="C411" s="82" t="s">
        <v>18</v>
      </c>
      <c r="D411" s="82">
        <v>60</v>
      </c>
      <c r="E411" s="83">
        <v>1</v>
      </c>
      <c r="F411" s="34">
        <v>0.17</v>
      </c>
      <c r="G411" s="33">
        <v>286</v>
      </c>
      <c r="H411" s="35">
        <f t="shared" si="17"/>
        <v>9.1039233999999997E-2</v>
      </c>
      <c r="I411" s="84" t="s">
        <v>165</v>
      </c>
    </row>
    <row r="412" spans="1:9" x14ac:dyDescent="0.2">
      <c r="A412" s="33" t="s">
        <v>164</v>
      </c>
      <c r="B412" s="32" t="s">
        <v>162</v>
      </c>
      <c r="C412" s="82" t="s">
        <v>18</v>
      </c>
      <c r="D412" s="82">
        <v>60</v>
      </c>
      <c r="E412" s="83">
        <v>2</v>
      </c>
      <c r="F412" s="34">
        <v>0.33</v>
      </c>
      <c r="G412" s="33">
        <v>489</v>
      </c>
      <c r="H412" s="35">
        <f t="shared" si="17"/>
        <v>0.155657991</v>
      </c>
      <c r="I412" s="84" t="s">
        <v>165</v>
      </c>
    </row>
    <row r="413" spans="1:9" x14ac:dyDescent="0.2">
      <c r="A413" s="33" t="s">
        <v>164</v>
      </c>
      <c r="B413" s="32" t="s">
        <v>162</v>
      </c>
      <c r="C413" s="82" t="s">
        <v>18</v>
      </c>
      <c r="D413" s="82">
        <v>60</v>
      </c>
      <c r="E413" s="83">
        <v>3</v>
      </c>
      <c r="F413" s="34">
        <v>0.49</v>
      </c>
      <c r="G413" s="33">
        <v>690</v>
      </c>
      <c r="H413" s="35">
        <f t="shared" si="17"/>
        <v>0.21964011</v>
      </c>
      <c r="I413" s="84" t="s">
        <v>165</v>
      </c>
    </row>
    <row r="414" spans="1:9" x14ac:dyDescent="0.2">
      <c r="A414" s="33" t="s">
        <v>164</v>
      </c>
      <c r="B414" s="32" t="s">
        <v>162</v>
      </c>
      <c r="C414" s="82" t="s">
        <v>18</v>
      </c>
      <c r="D414" s="82">
        <v>60</v>
      </c>
      <c r="E414" s="83">
        <v>4</v>
      </c>
      <c r="F414" s="34">
        <v>0.64</v>
      </c>
      <c r="G414" s="33">
        <v>889</v>
      </c>
      <c r="H414" s="35">
        <f t="shared" si="17"/>
        <v>0.28298559100000004</v>
      </c>
      <c r="I414" s="84" t="s">
        <v>165</v>
      </c>
    </row>
    <row r="415" spans="1:9" x14ac:dyDescent="0.2">
      <c r="A415" s="33" t="s">
        <v>164</v>
      </c>
      <c r="B415" s="32" t="s">
        <v>162</v>
      </c>
      <c r="C415" s="82" t="s">
        <v>18</v>
      </c>
      <c r="D415" s="82">
        <v>60</v>
      </c>
      <c r="E415" s="83">
        <v>5</v>
      </c>
      <c r="F415" s="34">
        <v>0.78</v>
      </c>
      <c r="G415" s="33">
        <v>1060</v>
      </c>
      <c r="H415" s="35">
        <f t="shared" si="17"/>
        <v>0.33741814000000003</v>
      </c>
      <c r="I415" s="84" t="s">
        <v>165</v>
      </c>
    </row>
    <row r="416" spans="1:9" x14ac:dyDescent="0.2">
      <c r="A416" s="33" t="s">
        <v>164</v>
      </c>
      <c r="B416" s="32" t="s">
        <v>162</v>
      </c>
      <c r="C416" s="82" t="s">
        <v>18</v>
      </c>
      <c r="D416" s="82">
        <v>60</v>
      </c>
      <c r="E416" s="83">
        <v>7</v>
      </c>
      <c r="F416" s="34">
        <v>0.95</v>
      </c>
      <c r="G416" s="33">
        <v>1290</v>
      </c>
      <c r="H416" s="35">
        <f t="shared" si="17"/>
        <v>0.41063151000000003</v>
      </c>
      <c r="I416" s="84" t="s">
        <v>165</v>
      </c>
    </row>
    <row r="417" spans="1:9" x14ac:dyDescent="0.2">
      <c r="A417" s="33" t="s">
        <v>164</v>
      </c>
      <c r="B417" s="32" t="s">
        <v>162</v>
      </c>
      <c r="C417" s="82" t="s">
        <v>18</v>
      </c>
      <c r="D417" s="82">
        <v>60</v>
      </c>
      <c r="E417" s="83">
        <v>10</v>
      </c>
      <c r="F417" s="34">
        <v>1.06</v>
      </c>
      <c r="G417" s="33">
        <v>1441</v>
      </c>
      <c r="H417" s="35">
        <f t="shared" si="17"/>
        <v>0.45869767900000002</v>
      </c>
      <c r="I417" s="84" t="s">
        <v>165</v>
      </c>
    </row>
    <row r="418" spans="1:9" x14ac:dyDescent="0.2">
      <c r="A418" s="75" t="s">
        <v>166</v>
      </c>
      <c r="B418" s="76" t="s">
        <v>137</v>
      </c>
      <c r="C418" s="77" t="s">
        <v>18</v>
      </c>
      <c r="D418" s="77">
        <v>60</v>
      </c>
      <c r="E418" s="78">
        <v>0</v>
      </c>
      <c r="F418" s="79">
        <v>0</v>
      </c>
      <c r="G418" s="80">
        <v>76</v>
      </c>
      <c r="H418" s="81">
        <f t="shared" si="17"/>
        <v>2.4192244000000002E-2</v>
      </c>
      <c r="I418" s="75" t="s">
        <v>165</v>
      </c>
    </row>
    <row r="419" spans="1:9" x14ac:dyDescent="0.2">
      <c r="A419" s="75" t="s">
        <v>166</v>
      </c>
      <c r="B419" s="76" t="s">
        <v>137</v>
      </c>
      <c r="C419" s="77" t="s">
        <v>18</v>
      </c>
      <c r="D419" s="77">
        <v>60</v>
      </c>
      <c r="E419" s="78">
        <v>1</v>
      </c>
      <c r="F419" s="79">
        <v>0.17</v>
      </c>
      <c r="G419" s="80">
        <v>258</v>
      </c>
      <c r="H419" s="81">
        <f t="shared" si="17"/>
        <v>8.2126302000000012E-2</v>
      </c>
      <c r="I419" s="75" t="s">
        <v>165</v>
      </c>
    </row>
    <row r="420" spans="1:9" x14ac:dyDescent="0.2">
      <c r="A420" s="75" t="s">
        <v>167</v>
      </c>
      <c r="B420" s="76" t="s">
        <v>147</v>
      </c>
      <c r="C420" s="77" t="s">
        <v>18</v>
      </c>
      <c r="D420" s="77">
        <v>60</v>
      </c>
      <c r="E420" s="78">
        <v>2</v>
      </c>
      <c r="F420" s="79">
        <v>0.33</v>
      </c>
      <c r="G420" s="80">
        <v>477</v>
      </c>
      <c r="H420" s="81">
        <f t="shared" si="17"/>
        <v>0.151838163</v>
      </c>
      <c r="I420" s="75" t="s">
        <v>165</v>
      </c>
    </row>
    <row r="421" spans="1:9" x14ac:dyDescent="0.2">
      <c r="A421" s="75" t="s">
        <v>167</v>
      </c>
      <c r="B421" s="76" t="s">
        <v>147</v>
      </c>
      <c r="C421" s="77" t="s">
        <v>18</v>
      </c>
      <c r="D421" s="77">
        <v>60</v>
      </c>
      <c r="E421" s="78">
        <v>3</v>
      </c>
      <c r="F421" s="79">
        <v>0.49</v>
      </c>
      <c r="G421" s="80">
        <v>693</v>
      </c>
      <c r="H421" s="81">
        <f t="shared" si="17"/>
        <v>0.22059506700000001</v>
      </c>
      <c r="I421" s="75" t="s">
        <v>165</v>
      </c>
    </row>
    <row r="422" spans="1:9" x14ac:dyDescent="0.2">
      <c r="A422" s="75" t="s">
        <v>167</v>
      </c>
      <c r="B422" s="76" t="s">
        <v>147</v>
      </c>
      <c r="C422" s="77" t="s">
        <v>18</v>
      </c>
      <c r="D422" s="77">
        <v>60</v>
      </c>
      <c r="E422" s="78">
        <v>4</v>
      </c>
      <c r="F422" s="79">
        <v>0.64</v>
      </c>
      <c r="G422" s="80">
        <v>898</v>
      </c>
      <c r="H422" s="81">
        <f t="shared" si="17"/>
        <v>0.28585046200000003</v>
      </c>
      <c r="I422" s="75" t="s">
        <v>165</v>
      </c>
    </row>
    <row r="423" spans="1:9" x14ac:dyDescent="0.2">
      <c r="A423" s="75" t="s">
        <v>167</v>
      </c>
      <c r="B423" s="76" t="s">
        <v>147</v>
      </c>
      <c r="C423" s="77" t="s">
        <v>18</v>
      </c>
      <c r="D423" s="77">
        <v>60</v>
      </c>
      <c r="E423" s="78">
        <v>5</v>
      </c>
      <c r="F423" s="79">
        <v>0.78</v>
      </c>
      <c r="G423" s="80">
        <v>1088</v>
      </c>
      <c r="H423" s="81">
        <f t="shared" si="17"/>
        <v>0.34633107200000002</v>
      </c>
      <c r="I423" s="75" t="s">
        <v>165</v>
      </c>
    </row>
    <row r="424" spans="1:9" x14ac:dyDescent="0.2">
      <c r="A424" s="75" t="s">
        <v>167</v>
      </c>
      <c r="B424" s="76" t="s">
        <v>147</v>
      </c>
      <c r="C424" s="77" t="s">
        <v>18</v>
      </c>
      <c r="D424" s="77">
        <v>60</v>
      </c>
      <c r="E424" s="78">
        <v>7</v>
      </c>
      <c r="F424" s="79">
        <v>0.94</v>
      </c>
      <c r="G424" s="80">
        <v>1319</v>
      </c>
      <c r="H424" s="81">
        <f t="shared" si="17"/>
        <v>0.41986276100000003</v>
      </c>
      <c r="I424" s="75" t="s">
        <v>165</v>
      </c>
    </row>
    <row r="425" spans="1:9" x14ac:dyDescent="0.2">
      <c r="A425" s="75" t="s">
        <v>167</v>
      </c>
      <c r="B425" s="76" t="s">
        <v>147</v>
      </c>
      <c r="C425" s="77" t="s">
        <v>18</v>
      </c>
      <c r="D425" s="77">
        <v>60</v>
      </c>
      <c r="E425" s="78">
        <v>10</v>
      </c>
      <c r="F425" s="79">
        <v>1.05</v>
      </c>
      <c r="G425" s="80">
        <v>1440</v>
      </c>
      <c r="H425" s="81">
        <f t="shared" si="17"/>
        <v>0.45837936000000001</v>
      </c>
      <c r="I425" s="75" t="s">
        <v>165</v>
      </c>
    </row>
    <row r="426" spans="1:9" x14ac:dyDescent="0.2">
      <c r="A426" s="58" t="s">
        <v>44</v>
      </c>
      <c r="B426" s="7" t="s">
        <v>26</v>
      </c>
      <c r="C426" s="56" t="s">
        <v>7</v>
      </c>
      <c r="D426" s="56">
        <v>60</v>
      </c>
      <c r="E426" s="57">
        <v>0</v>
      </c>
      <c r="F426" s="6">
        <v>0</v>
      </c>
      <c r="G426" s="6">
        <v>277</v>
      </c>
      <c r="H426" s="10">
        <f t="shared" si="17"/>
        <v>8.8174363000000019E-2</v>
      </c>
      <c r="I426" s="58" t="s">
        <v>171</v>
      </c>
    </row>
    <row r="427" spans="1:9" x14ac:dyDescent="0.2">
      <c r="A427" s="58" t="s">
        <v>44</v>
      </c>
      <c r="B427" s="7" t="s">
        <v>26</v>
      </c>
      <c r="C427" s="56" t="s">
        <v>7</v>
      </c>
      <c r="D427" s="56">
        <v>60</v>
      </c>
      <c r="E427" s="57">
        <v>1</v>
      </c>
      <c r="F427" s="6">
        <v>0.17</v>
      </c>
      <c r="G427" s="6">
        <v>388</v>
      </c>
      <c r="H427" s="10">
        <f t="shared" si="17"/>
        <v>0.12350777200000002</v>
      </c>
      <c r="I427" s="58" t="s">
        <v>171</v>
      </c>
    </row>
    <row r="428" spans="1:9" x14ac:dyDescent="0.2">
      <c r="A428" s="58" t="s">
        <v>44</v>
      </c>
      <c r="B428" s="7" t="s">
        <v>26</v>
      </c>
      <c r="C428" s="56" t="s">
        <v>18</v>
      </c>
      <c r="D428" s="56">
        <v>60</v>
      </c>
      <c r="E428" s="57">
        <v>2</v>
      </c>
      <c r="F428" s="6">
        <v>0.33</v>
      </c>
      <c r="G428" s="6">
        <v>569</v>
      </c>
      <c r="H428" s="10">
        <f t="shared" si="17"/>
        <v>0.18112351099999999</v>
      </c>
      <c r="I428" s="58" t="s">
        <v>171</v>
      </c>
    </row>
    <row r="429" spans="1:9" x14ac:dyDescent="0.2">
      <c r="A429" s="58" t="s">
        <v>44</v>
      </c>
      <c r="B429" s="7" t="s">
        <v>26</v>
      </c>
      <c r="C429" s="56" t="s">
        <v>18</v>
      </c>
      <c r="D429" s="56">
        <v>60</v>
      </c>
      <c r="E429" s="57">
        <v>3</v>
      </c>
      <c r="F429" s="6">
        <v>0.49</v>
      </c>
      <c r="G429" s="6">
        <v>751</v>
      </c>
      <c r="H429" s="10">
        <f t="shared" si="17"/>
        <v>0.23905756900000003</v>
      </c>
      <c r="I429" s="58" t="s">
        <v>171</v>
      </c>
    </row>
    <row r="430" spans="1:9" x14ac:dyDescent="0.2">
      <c r="A430" s="58" t="s">
        <v>44</v>
      </c>
      <c r="B430" s="7" t="s">
        <v>26</v>
      </c>
      <c r="C430" s="56" t="s">
        <v>18</v>
      </c>
      <c r="D430" s="56">
        <v>60</v>
      </c>
      <c r="E430" s="57">
        <v>4</v>
      </c>
      <c r="F430" s="6">
        <v>0.64</v>
      </c>
      <c r="G430" s="6">
        <v>889</v>
      </c>
      <c r="H430" s="10">
        <f t="shared" si="17"/>
        <v>0.28298559100000004</v>
      </c>
      <c r="I430" s="58" t="s">
        <v>171</v>
      </c>
    </row>
    <row r="431" spans="1:9" x14ac:dyDescent="0.2">
      <c r="A431" s="58" t="s">
        <v>44</v>
      </c>
      <c r="B431" s="7" t="s">
        <v>26</v>
      </c>
      <c r="C431" s="56" t="s">
        <v>18</v>
      </c>
      <c r="D431" s="56">
        <v>60</v>
      </c>
      <c r="E431" s="57">
        <v>5</v>
      </c>
      <c r="F431" s="6">
        <v>0.77</v>
      </c>
      <c r="G431" s="6">
        <v>1031</v>
      </c>
      <c r="H431" s="10">
        <f t="shared" si="17"/>
        <v>0.32818688899999998</v>
      </c>
      <c r="I431" s="58" t="s">
        <v>171</v>
      </c>
    </row>
    <row r="432" spans="1:9" x14ac:dyDescent="0.2">
      <c r="A432" s="58" t="s">
        <v>44</v>
      </c>
      <c r="B432" s="7" t="s">
        <v>26</v>
      </c>
      <c r="C432" s="56" t="s">
        <v>18</v>
      </c>
      <c r="D432" s="56">
        <v>60</v>
      </c>
      <c r="E432" s="57">
        <v>7</v>
      </c>
      <c r="F432" s="6">
        <v>0.94</v>
      </c>
      <c r="G432" s="6">
        <v>1222</v>
      </c>
      <c r="H432" s="10">
        <f t="shared" si="17"/>
        <v>0.38898581800000004</v>
      </c>
      <c r="I432" s="58" t="s">
        <v>171</v>
      </c>
    </row>
    <row r="433" spans="1:9" x14ac:dyDescent="0.2">
      <c r="A433" s="58" t="s">
        <v>44</v>
      </c>
      <c r="B433" s="7" t="s">
        <v>26</v>
      </c>
      <c r="C433" s="56" t="s">
        <v>18</v>
      </c>
      <c r="D433" s="56">
        <v>60</v>
      </c>
      <c r="E433" s="57">
        <v>10</v>
      </c>
      <c r="F433" s="6">
        <v>1.04</v>
      </c>
      <c r="G433" s="6">
        <v>1351</v>
      </c>
      <c r="H433" s="10">
        <f t="shared" si="17"/>
        <v>0.430048969</v>
      </c>
      <c r="I433" s="58" t="s">
        <v>171</v>
      </c>
    </row>
    <row r="434" spans="1:9" x14ac:dyDescent="0.2">
      <c r="A434" s="84" t="s">
        <v>111</v>
      </c>
      <c r="B434" s="32" t="s">
        <v>113</v>
      </c>
      <c r="C434" s="82" t="s">
        <v>7</v>
      </c>
      <c r="D434" s="82">
        <v>60</v>
      </c>
      <c r="E434" s="83">
        <v>0</v>
      </c>
      <c r="F434" s="91">
        <v>0</v>
      </c>
      <c r="G434" s="91">
        <v>108</v>
      </c>
      <c r="H434" s="35">
        <f t="shared" si="17"/>
        <v>3.4378452000000004E-2</v>
      </c>
      <c r="I434" s="84" t="s">
        <v>171</v>
      </c>
    </row>
    <row r="435" spans="1:9" x14ac:dyDescent="0.2">
      <c r="A435" s="84" t="s">
        <v>111</v>
      </c>
      <c r="B435" s="32" t="s">
        <v>113</v>
      </c>
      <c r="C435" s="82" t="s">
        <v>18</v>
      </c>
      <c r="D435" s="82">
        <v>60</v>
      </c>
      <c r="E435" s="83">
        <v>1</v>
      </c>
      <c r="F435" s="91">
        <v>0.16</v>
      </c>
      <c r="G435" s="91">
        <v>175</v>
      </c>
      <c r="H435" s="35">
        <f t="shared" si="17"/>
        <v>5.5705825E-2</v>
      </c>
      <c r="I435" s="84" t="s">
        <v>171</v>
      </c>
    </row>
    <row r="436" spans="1:9" x14ac:dyDescent="0.2">
      <c r="A436" s="84" t="s">
        <v>101</v>
      </c>
      <c r="B436" s="32" t="s">
        <v>112</v>
      </c>
      <c r="C436" s="82" t="s">
        <v>18</v>
      </c>
      <c r="D436" s="82">
        <v>60</v>
      </c>
      <c r="E436" s="83">
        <v>2</v>
      </c>
      <c r="F436" s="91">
        <v>0.33</v>
      </c>
      <c r="G436" s="91">
        <v>315</v>
      </c>
      <c r="H436" s="35">
        <f t="shared" si="17"/>
        <v>0.10027048500000001</v>
      </c>
      <c r="I436" s="84" t="s">
        <v>171</v>
      </c>
    </row>
    <row r="437" spans="1:9" x14ac:dyDescent="0.2">
      <c r="A437" s="84" t="s">
        <v>101</v>
      </c>
      <c r="B437" s="32" t="s">
        <v>112</v>
      </c>
      <c r="C437" s="82" t="s">
        <v>18</v>
      </c>
      <c r="D437" s="82">
        <v>60</v>
      </c>
      <c r="E437" s="83">
        <v>3</v>
      </c>
      <c r="F437" s="91">
        <v>0.48</v>
      </c>
      <c r="G437" s="91">
        <v>446</v>
      </c>
      <c r="H437" s="35">
        <f t="shared" si="17"/>
        <v>0.14197027400000001</v>
      </c>
      <c r="I437" s="84" t="s">
        <v>171</v>
      </c>
    </row>
    <row r="438" spans="1:9" x14ac:dyDescent="0.2">
      <c r="A438" s="84" t="s">
        <v>101</v>
      </c>
      <c r="B438" s="32" t="s">
        <v>112</v>
      </c>
      <c r="C438" s="82" t="s">
        <v>18</v>
      </c>
      <c r="D438" s="82">
        <v>60</v>
      </c>
      <c r="E438" s="83">
        <v>4</v>
      </c>
      <c r="F438" s="91">
        <v>0.63</v>
      </c>
      <c r="G438" s="91">
        <v>567</v>
      </c>
      <c r="H438" s="35">
        <f t="shared" si="17"/>
        <v>0.18048687299999999</v>
      </c>
      <c r="I438" s="84" t="s">
        <v>171</v>
      </c>
    </row>
    <row r="439" spans="1:9" x14ac:dyDescent="0.2">
      <c r="A439" s="84" t="s">
        <v>101</v>
      </c>
      <c r="B439" s="32" t="s">
        <v>112</v>
      </c>
      <c r="C439" s="82" t="s">
        <v>18</v>
      </c>
      <c r="D439" s="82">
        <v>60</v>
      </c>
      <c r="E439" s="83">
        <v>5</v>
      </c>
      <c r="F439" s="91">
        <v>0.77</v>
      </c>
      <c r="G439" s="91">
        <v>677</v>
      </c>
      <c r="H439" s="35">
        <f t="shared" si="17"/>
        <v>0.21550196300000002</v>
      </c>
      <c r="I439" s="84" t="s">
        <v>171</v>
      </c>
    </row>
    <row r="440" spans="1:9" x14ac:dyDescent="0.2">
      <c r="A440" s="84" t="s">
        <v>101</v>
      </c>
      <c r="B440" s="32" t="s">
        <v>112</v>
      </c>
      <c r="C440" s="82" t="s">
        <v>18</v>
      </c>
      <c r="D440" s="82">
        <v>60</v>
      </c>
      <c r="E440" s="83">
        <v>7</v>
      </c>
      <c r="F440" s="91">
        <v>0.93</v>
      </c>
      <c r="G440" s="91">
        <v>799</v>
      </c>
      <c r="H440" s="35">
        <f t="shared" si="17"/>
        <v>0.25433688100000001</v>
      </c>
      <c r="I440" s="84" t="s">
        <v>171</v>
      </c>
    </row>
    <row r="441" spans="1:9" x14ac:dyDescent="0.2">
      <c r="A441" s="84" t="s">
        <v>101</v>
      </c>
      <c r="B441" s="32" t="s">
        <v>112</v>
      </c>
      <c r="C441" s="82" t="s">
        <v>18</v>
      </c>
      <c r="D441" s="82">
        <v>60</v>
      </c>
      <c r="E441" s="83">
        <v>10</v>
      </c>
      <c r="F441" s="91">
        <v>1.04</v>
      </c>
      <c r="G441" s="91">
        <v>888</v>
      </c>
      <c r="H441" s="35">
        <f t="shared" si="17"/>
        <v>0.28266727200000002</v>
      </c>
      <c r="I441" s="84" t="s">
        <v>171</v>
      </c>
    </row>
    <row r="442" spans="1:9" x14ac:dyDescent="0.2">
      <c r="A442" s="88" t="s">
        <v>116</v>
      </c>
      <c r="B442" s="13" t="s">
        <v>114</v>
      </c>
      <c r="C442" s="89" t="s">
        <v>18</v>
      </c>
      <c r="D442" s="89">
        <v>60</v>
      </c>
      <c r="E442" s="90">
        <v>0</v>
      </c>
      <c r="F442" s="12">
        <v>0</v>
      </c>
      <c r="G442" s="12">
        <v>266</v>
      </c>
      <c r="H442" s="16">
        <f t="shared" si="17"/>
        <v>8.4672854000000006E-2</v>
      </c>
      <c r="I442" s="88" t="s">
        <v>171</v>
      </c>
    </row>
    <row r="443" spans="1:9" x14ac:dyDescent="0.2">
      <c r="A443" s="88" t="s">
        <v>116</v>
      </c>
      <c r="B443" s="13" t="s">
        <v>114</v>
      </c>
      <c r="C443" s="89" t="s">
        <v>18</v>
      </c>
      <c r="D443" s="89">
        <v>60</v>
      </c>
      <c r="E443" s="90">
        <v>1</v>
      </c>
      <c r="F443" s="12">
        <v>0.16</v>
      </c>
      <c r="G443" s="12">
        <v>488</v>
      </c>
      <c r="H443" s="16">
        <f t="shared" si="17"/>
        <v>0.15533967200000001</v>
      </c>
      <c r="I443" s="88" t="s">
        <v>171</v>
      </c>
    </row>
    <row r="444" spans="1:9" x14ac:dyDescent="0.2">
      <c r="A444" s="88" t="s">
        <v>115</v>
      </c>
      <c r="B444" s="13" t="s">
        <v>114</v>
      </c>
      <c r="C444" s="89" t="s">
        <v>18</v>
      </c>
      <c r="D444" s="89">
        <v>60</v>
      </c>
      <c r="E444" s="90">
        <v>2</v>
      </c>
      <c r="F444" s="12">
        <v>0.33</v>
      </c>
      <c r="G444" s="12">
        <v>799</v>
      </c>
      <c r="H444" s="16">
        <f t="shared" si="17"/>
        <v>0.25433688100000001</v>
      </c>
      <c r="I444" s="88" t="s">
        <v>171</v>
      </c>
    </row>
    <row r="445" spans="1:9" x14ac:dyDescent="0.2">
      <c r="A445" s="88" t="s">
        <v>115</v>
      </c>
      <c r="B445" s="13" t="s">
        <v>114</v>
      </c>
      <c r="C445" s="89" t="s">
        <v>18</v>
      </c>
      <c r="D445" s="89">
        <v>60</v>
      </c>
      <c r="E445" s="90">
        <v>3</v>
      </c>
      <c r="F445" s="12">
        <v>0.48</v>
      </c>
      <c r="G445" s="12">
        <v>1076</v>
      </c>
      <c r="H445" s="16">
        <f t="shared" si="17"/>
        <v>0.34251124400000005</v>
      </c>
      <c r="I445" s="88" t="s">
        <v>171</v>
      </c>
    </row>
    <row r="446" spans="1:9" x14ac:dyDescent="0.2">
      <c r="A446" s="88" t="s">
        <v>115</v>
      </c>
      <c r="B446" s="13" t="s">
        <v>114</v>
      </c>
      <c r="C446" s="89" t="s">
        <v>18</v>
      </c>
      <c r="D446" s="89">
        <v>60</v>
      </c>
      <c r="E446" s="90">
        <v>4</v>
      </c>
      <c r="F446" s="12">
        <v>0.63</v>
      </c>
      <c r="G446" s="12">
        <v>1311</v>
      </c>
      <c r="H446" s="16">
        <f t="shared" si="17"/>
        <v>0.41731620899999999</v>
      </c>
      <c r="I446" s="88" t="s">
        <v>171</v>
      </c>
    </row>
    <row r="447" spans="1:9" x14ac:dyDescent="0.2">
      <c r="A447" s="88" t="s">
        <v>115</v>
      </c>
      <c r="B447" s="13" t="s">
        <v>114</v>
      </c>
      <c r="C447" s="89" t="s">
        <v>18</v>
      </c>
      <c r="D447" s="89">
        <v>60</v>
      </c>
      <c r="E447" s="90">
        <v>5</v>
      </c>
      <c r="F447" s="12">
        <v>0.77</v>
      </c>
      <c r="G447" s="12">
        <v>1591</v>
      </c>
      <c r="H447" s="16">
        <f t="shared" si="17"/>
        <v>0.50644552900000006</v>
      </c>
      <c r="I447" s="88" t="s">
        <v>171</v>
      </c>
    </row>
    <row r="448" spans="1:9" x14ac:dyDescent="0.2">
      <c r="A448" s="88" t="s">
        <v>115</v>
      </c>
      <c r="B448" s="13" t="s">
        <v>114</v>
      </c>
      <c r="C448" s="89" t="s">
        <v>18</v>
      </c>
      <c r="D448" s="89">
        <v>60</v>
      </c>
      <c r="E448" s="90">
        <v>7</v>
      </c>
      <c r="F448" s="12">
        <v>0.93</v>
      </c>
      <c r="G448" s="12">
        <v>1931</v>
      </c>
      <c r="H448" s="16">
        <f t="shared" si="17"/>
        <v>0.61467398900000003</v>
      </c>
      <c r="I448" s="88" t="s">
        <v>171</v>
      </c>
    </row>
    <row r="449" spans="1:10" x14ac:dyDescent="0.2">
      <c r="A449" s="88" t="s">
        <v>115</v>
      </c>
      <c r="B449" s="13" t="s">
        <v>114</v>
      </c>
      <c r="C449" s="89" t="s">
        <v>18</v>
      </c>
      <c r="D449" s="89">
        <v>60</v>
      </c>
      <c r="E449" s="90">
        <v>10</v>
      </c>
      <c r="F449" s="12">
        <v>1.03</v>
      </c>
      <c r="G449" s="12">
        <v>2192</v>
      </c>
      <c r="H449" s="16">
        <f t="shared" si="17"/>
        <v>0.69775524800000011</v>
      </c>
      <c r="I449" s="88" t="s">
        <v>171</v>
      </c>
    </row>
    <row r="450" spans="1:10" x14ac:dyDescent="0.2">
      <c r="A450" s="85" t="s">
        <v>154</v>
      </c>
      <c r="B450" s="19" t="s">
        <v>156</v>
      </c>
      <c r="C450" s="86" t="s">
        <v>18</v>
      </c>
      <c r="D450" s="86">
        <v>60</v>
      </c>
      <c r="E450" s="87">
        <v>0</v>
      </c>
      <c r="F450" s="18">
        <v>0</v>
      </c>
      <c r="G450" s="18">
        <v>289</v>
      </c>
      <c r="H450" s="22">
        <f t="shared" si="17"/>
        <v>9.1994191000000003E-2</v>
      </c>
      <c r="I450" s="85" t="s">
        <v>171</v>
      </c>
    </row>
    <row r="451" spans="1:10" x14ac:dyDescent="0.2">
      <c r="A451" s="85" t="s">
        <v>154</v>
      </c>
      <c r="B451" s="19" t="s">
        <v>156</v>
      </c>
      <c r="C451" s="86" t="s">
        <v>18</v>
      </c>
      <c r="D451" s="86">
        <v>60</v>
      </c>
      <c r="E451" s="87">
        <v>1</v>
      </c>
      <c r="F451" s="18">
        <v>0.16</v>
      </c>
      <c r="G451" s="18">
        <v>349</v>
      </c>
      <c r="H451" s="22">
        <f t="shared" si="17"/>
        <v>0.111093331</v>
      </c>
      <c r="I451" s="85" t="s">
        <v>171</v>
      </c>
    </row>
    <row r="452" spans="1:10" x14ac:dyDescent="0.2">
      <c r="A452" s="85" t="s">
        <v>172</v>
      </c>
      <c r="B452" s="19" t="s">
        <v>156</v>
      </c>
      <c r="C452" s="86" t="s">
        <v>18</v>
      </c>
      <c r="D452" s="86">
        <v>60</v>
      </c>
      <c r="E452" s="87">
        <v>2</v>
      </c>
      <c r="F452" s="18">
        <v>0.32</v>
      </c>
      <c r="G452" s="18">
        <v>438</v>
      </c>
      <c r="H452" s="22">
        <f t="shared" si="17"/>
        <v>0.139423722</v>
      </c>
      <c r="I452" s="85" t="s">
        <v>171</v>
      </c>
    </row>
    <row r="453" spans="1:10" x14ac:dyDescent="0.2">
      <c r="A453" s="85" t="s">
        <v>172</v>
      </c>
      <c r="B453" s="19" t="s">
        <v>156</v>
      </c>
      <c r="C453" s="86" t="s">
        <v>18</v>
      </c>
      <c r="D453" s="86">
        <v>60</v>
      </c>
      <c r="E453" s="87">
        <v>3</v>
      </c>
      <c r="F453" s="18">
        <v>0.47</v>
      </c>
      <c r="G453" s="18">
        <v>530</v>
      </c>
      <c r="H453" s="22">
        <f t="shared" si="17"/>
        <v>0.16870907000000002</v>
      </c>
      <c r="I453" s="85" t="s">
        <v>171</v>
      </c>
    </row>
    <row r="454" spans="1:10" x14ac:dyDescent="0.2">
      <c r="A454" s="85" t="s">
        <v>172</v>
      </c>
      <c r="B454" s="19" t="s">
        <v>156</v>
      </c>
      <c r="C454" s="86" t="s">
        <v>18</v>
      </c>
      <c r="D454" s="86">
        <v>60</v>
      </c>
      <c r="E454" s="87">
        <v>4</v>
      </c>
      <c r="F454" s="18">
        <v>0.61</v>
      </c>
      <c r="G454" s="18">
        <v>621</v>
      </c>
      <c r="H454" s="22">
        <f t="shared" si="17"/>
        <v>0.19767609900000002</v>
      </c>
      <c r="I454" s="85" t="s">
        <v>171</v>
      </c>
    </row>
    <row r="455" spans="1:10" x14ac:dyDescent="0.2">
      <c r="A455" s="85" t="s">
        <v>172</v>
      </c>
      <c r="B455" s="19" t="s">
        <v>156</v>
      </c>
      <c r="C455" s="86" t="s">
        <v>18</v>
      </c>
      <c r="D455" s="86">
        <v>60</v>
      </c>
      <c r="E455" s="87">
        <v>5</v>
      </c>
      <c r="F455" s="18">
        <v>0.75</v>
      </c>
      <c r="G455" s="18">
        <v>701</v>
      </c>
      <c r="H455" s="22">
        <f t="shared" si="17"/>
        <v>0.22314161899999999</v>
      </c>
      <c r="I455" s="85" t="s">
        <v>171</v>
      </c>
    </row>
    <row r="456" spans="1:10" x14ac:dyDescent="0.2">
      <c r="A456" s="85" t="s">
        <v>172</v>
      </c>
      <c r="B456" s="19" t="s">
        <v>156</v>
      </c>
      <c r="C456" s="86" t="s">
        <v>18</v>
      </c>
      <c r="D456" s="86">
        <v>60</v>
      </c>
      <c r="E456" s="87">
        <v>7</v>
      </c>
      <c r="F456" s="18">
        <v>0.91</v>
      </c>
      <c r="G456" s="18">
        <v>810</v>
      </c>
      <c r="H456" s="22">
        <f t="shared" si="17"/>
        <v>0.25783839000000003</v>
      </c>
      <c r="I456" s="85" t="s">
        <v>171</v>
      </c>
    </row>
    <row r="457" spans="1:10" x14ac:dyDescent="0.2">
      <c r="A457" s="85" t="s">
        <v>172</v>
      </c>
      <c r="B457" s="19" t="s">
        <v>156</v>
      </c>
      <c r="C457" s="86" t="s">
        <v>18</v>
      </c>
      <c r="D457" s="86">
        <v>60</v>
      </c>
      <c r="E457" s="87">
        <v>10</v>
      </c>
      <c r="F457" s="18">
        <v>1.02</v>
      </c>
      <c r="G457" s="18">
        <v>880</v>
      </c>
      <c r="H457" s="22">
        <f t="shared" si="17"/>
        <v>0.28012072000000005</v>
      </c>
      <c r="I457" s="85" t="s">
        <v>171</v>
      </c>
    </row>
    <row r="458" spans="1:10" x14ac:dyDescent="0.2">
      <c r="A458" s="92" t="s">
        <v>140</v>
      </c>
      <c r="B458" s="93" t="s">
        <v>142</v>
      </c>
      <c r="C458" s="94" t="s">
        <v>32</v>
      </c>
      <c r="D458" s="94">
        <v>60</v>
      </c>
      <c r="E458" s="95">
        <v>0</v>
      </c>
      <c r="F458" s="96">
        <v>0</v>
      </c>
      <c r="G458" s="96">
        <v>57</v>
      </c>
      <c r="H458" s="97">
        <f t="shared" si="17"/>
        <v>1.8144183000000001E-2</v>
      </c>
      <c r="I458" s="92" t="s">
        <v>171</v>
      </c>
    </row>
    <row r="459" spans="1:10" x14ac:dyDescent="0.2">
      <c r="A459" s="92" t="s">
        <v>140</v>
      </c>
      <c r="B459" s="93" t="s">
        <v>142</v>
      </c>
      <c r="C459" s="94" t="s">
        <v>32</v>
      </c>
      <c r="D459" s="94">
        <v>60</v>
      </c>
      <c r="E459" s="95">
        <v>1</v>
      </c>
      <c r="F459" s="96">
        <v>0.17</v>
      </c>
      <c r="G459" s="96">
        <v>109</v>
      </c>
      <c r="H459" s="97">
        <f t="shared" si="17"/>
        <v>3.4696771000000001E-2</v>
      </c>
      <c r="I459" s="92" t="s">
        <v>171</v>
      </c>
    </row>
    <row r="460" spans="1:10" x14ac:dyDescent="0.2">
      <c r="A460" s="92" t="s">
        <v>140</v>
      </c>
      <c r="B460" s="93" t="s">
        <v>142</v>
      </c>
      <c r="C460" s="94" t="s">
        <v>32</v>
      </c>
      <c r="D460" s="94">
        <v>60</v>
      </c>
      <c r="E460" s="95">
        <v>2</v>
      </c>
      <c r="F460" s="96">
        <v>0.32</v>
      </c>
      <c r="G460" s="96">
        <v>157</v>
      </c>
      <c r="H460" s="97">
        <f t="shared" si="17"/>
        <v>4.9976083000000004E-2</v>
      </c>
      <c r="I460" s="92" t="s">
        <v>171</v>
      </c>
    </row>
    <row r="461" spans="1:10" x14ac:dyDescent="0.2">
      <c r="A461" s="92" t="s">
        <v>140</v>
      </c>
      <c r="B461" s="93" t="s">
        <v>142</v>
      </c>
      <c r="C461" s="94" t="s">
        <v>32</v>
      </c>
      <c r="D461" s="94">
        <v>60</v>
      </c>
      <c r="E461" s="95">
        <v>3</v>
      </c>
      <c r="F461" s="96">
        <v>0.47</v>
      </c>
      <c r="G461" s="96">
        <v>247</v>
      </c>
      <c r="H461" s="97">
        <f t="shared" si="17"/>
        <v>7.8624792999999998E-2</v>
      </c>
      <c r="I461" s="92" t="s">
        <v>171</v>
      </c>
    </row>
    <row r="462" spans="1:10" x14ac:dyDescent="0.2">
      <c r="A462" s="92" t="s">
        <v>140</v>
      </c>
      <c r="B462" s="93" t="s">
        <v>142</v>
      </c>
      <c r="C462" s="94" t="s">
        <v>32</v>
      </c>
      <c r="D462" s="94">
        <v>60</v>
      </c>
      <c r="E462" s="95">
        <v>4</v>
      </c>
      <c r="F462" s="96">
        <v>0.61</v>
      </c>
      <c r="G462" s="96">
        <v>406</v>
      </c>
      <c r="H462" s="97">
        <f t="shared" si="17"/>
        <v>0.12923751400000003</v>
      </c>
      <c r="I462" s="92" t="s">
        <v>171</v>
      </c>
      <c r="J462" t="s">
        <v>173</v>
      </c>
    </row>
    <row r="463" spans="1:10" x14ac:dyDescent="0.2">
      <c r="A463" s="92" t="s">
        <v>140</v>
      </c>
      <c r="B463" s="93" t="s">
        <v>142</v>
      </c>
      <c r="C463" s="94" t="s">
        <v>32</v>
      </c>
      <c r="D463" s="94">
        <v>60</v>
      </c>
      <c r="E463" s="95">
        <v>5</v>
      </c>
      <c r="F463" s="96">
        <v>0.74</v>
      </c>
      <c r="G463" s="96">
        <v>527</v>
      </c>
      <c r="H463" s="97">
        <f t="shared" si="17"/>
        <v>0.16775411300000001</v>
      </c>
      <c r="I463" s="92" t="s">
        <v>171</v>
      </c>
    </row>
    <row r="464" spans="1:10" x14ac:dyDescent="0.2">
      <c r="A464" s="92" t="s">
        <v>140</v>
      </c>
      <c r="B464" s="93" t="s">
        <v>142</v>
      </c>
      <c r="C464" s="94" t="s">
        <v>32</v>
      </c>
      <c r="D464" s="94">
        <v>60</v>
      </c>
      <c r="E464" s="95">
        <v>7</v>
      </c>
      <c r="F464" s="96">
        <v>0.9</v>
      </c>
      <c r="G464" s="96">
        <v>668</v>
      </c>
      <c r="H464" s="97">
        <f t="shared" si="17"/>
        <v>0.21263709200000003</v>
      </c>
      <c r="I464" s="92" t="s">
        <v>171</v>
      </c>
    </row>
    <row r="465" spans="1:9" x14ac:dyDescent="0.2">
      <c r="A465" s="92" t="s">
        <v>140</v>
      </c>
      <c r="B465" s="93" t="s">
        <v>142</v>
      </c>
      <c r="C465" s="94" t="s">
        <v>32</v>
      </c>
      <c r="D465" s="94">
        <v>60</v>
      </c>
      <c r="E465" s="95">
        <v>10</v>
      </c>
      <c r="F465" s="96">
        <v>1.02</v>
      </c>
      <c r="G465" s="96">
        <v>757</v>
      </c>
      <c r="H465" s="97">
        <f t="shared" si="17"/>
        <v>0.24096748300000001</v>
      </c>
      <c r="I465" s="92" t="s">
        <v>171</v>
      </c>
    </row>
    <row r="466" spans="1:9" x14ac:dyDescent="0.2">
      <c r="A466" s="73" t="s">
        <v>105</v>
      </c>
      <c r="B466" s="49" t="s">
        <v>104</v>
      </c>
      <c r="C466" s="70" t="s">
        <v>32</v>
      </c>
      <c r="D466" s="70">
        <v>60</v>
      </c>
      <c r="E466" s="71">
        <v>0</v>
      </c>
      <c r="F466" s="98">
        <v>0</v>
      </c>
      <c r="G466" s="98">
        <v>-13</v>
      </c>
      <c r="H466" s="54">
        <f t="shared" si="17"/>
        <v>-4.138147E-3</v>
      </c>
      <c r="I466" s="73" t="s">
        <v>171</v>
      </c>
    </row>
    <row r="467" spans="1:9" x14ac:dyDescent="0.2">
      <c r="A467" s="73" t="s">
        <v>105</v>
      </c>
      <c r="B467" s="49" t="s">
        <v>104</v>
      </c>
      <c r="C467" s="70" t="s">
        <v>32</v>
      </c>
      <c r="D467" s="70">
        <v>60</v>
      </c>
      <c r="E467" s="71">
        <v>1</v>
      </c>
      <c r="F467" s="98">
        <v>0.16</v>
      </c>
      <c r="G467" s="98">
        <v>-4</v>
      </c>
      <c r="H467" s="54">
        <f t="shared" si="17"/>
        <v>-1.2732760000000001E-3</v>
      </c>
      <c r="I467" s="73" t="s">
        <v>171</v>
      </c>
    </row>
    <row r="468" spans="1:9" x14ac:dyDescent="0.2">
      <c r="A468" s="73" t="s">
        <v>98</v>
      </c>
      <c r="B468" s="49" t="s">
        <v>104</v>
      </c>
      <c r="C468" s="70" t="s">
        <v>32</v>
      </c>
      <c r="D468" s="70">
        <v>60</v>
      </c>
      <c r="E468" s="71">
        <v>2</v>
      </c>
      <c r="F468" s="98">
        <v>0.31</v>
      </c>
      <c r="G468" s="98">
        <v>56</v>
      </c>
      <c r="H468" s="54">
        <f t="shared" si="17"/>
        <v>1.7825864E-2</v>
      </c>
      <c r="I468" s="73" t="s">
        <v>171</v>
      </c>
    </row>
    <row r="469" spans="1:9" x14ac:dyDescent="0.2">
      <c r="A469" s="73" t="s">
        <v>98</v>
      </c>
      <c r="B469" s="49" t="s">
        <v>104</v>
      </c>
      <c r="C469" s="70" t="s">
        <v>32</v>
      </c>
      <c r="D469" s="70">
        <v>60</v>
      </c>
      <c r="E469" s="71">
        <v>3</v>
      </c>
      <c r="F469" s="98">
        <v>0.46</v>
      </c>
      <c r="G469" s="98">
        <v>177</v>
      </c>
      <c r="H469" s="54">
        <f t="shared" si="17"/>
        <v>5.6342463000000002E-2</v>
      </c>
      <c r="I469" s="73" t="s">
        <v>171</v>
      </c>
    </row>
    <row r="470" spans="1:9" x14ac:dyDescent="0.2">
      <c r="A470" s="73" t="s">
        <v>98</v>
      </c>
      <c r="B470" s="49" t="s">
        <v>104</v>
      </c>
      <c r="C470" s="70" t="s">
        <v>32</v>
      </c>
      <c r="D470" s="70">
        <v>60</v>
      </c>
      <c r="E470" s="71">
        <v>4</v>
      </c>
      <c r="F470" s="98">
        <v>0.6</v>
      </c>
      <c r="G470" s="98">
        <v>297</v>
      </c>
      <c r="H470" s="54">
        <f t="shared" si="17"/>
        <v>9.4540742999999997E-2</v>
      </c>
      <c r="I470" s="73" t="s">
        <v>171</v>
      </c>
    </row>
    <row r="471" spans="1:9" x14ac:dyDescent="0.2">
      <c r="A471" s="73" t="s">
        <v>98</v>
      </c>
      <c r="B471" s="49" t="s">
        <v>104</v>
      </c>
      <c r="C471" s="70" t="s">
        <v>32</v>
      </c>
      <c r="D471" s="70">
        <v>60</v>
      </c>
      <c r="E471" s="71">
        <v>5</v>
      </c>
      <c r="F471" s="98">
        <v>0.73</v>
      </c>
      <c r="G471" s="98">
        <v>377</v>
      </c>
      <c r="H471" s="54">
        <f t="shared" si="17"/>
        <v>0.120006263</v>
      </c>
      <c r="I471" s="73" t="s">
        <v>171</v>
      </c>
    </row>
    <row r="472" spans="1:9" x14ac:dyDescent="0.2">
      <c r="A472" s="73" t="s">
        <v>98</v>
      </c>
      <c r="B472" s="49" t="s">
        <v>104</v>
      </c>
      <c r="C472" s="70" t="s">
        <v>32</v>
      </c>
      <c r="D472" s="70">
        <v>60</v>
      </c>
      <c r="E472" s="71">
        <v>7</v>
      </c>
      <c r="F472" s="98">
        <v>0.89</v>
      </c>
      <c r="G472" s="98">
        <v>547</v>
      </c>
      <c r="H472" s="54">
        <f t="shared" si="17"/>
        <v>0.17412049300000002</v>
      </c>
      <c r="I472" s="73" t="s">
        <v>171</v>
      </c>
    </row>
    <row r="473" spans="1:9" x14ac:dyDescent="0.2">
      <c r="A473" s="73" t="s">
        <v>98</v>
      </c>
      <c r="B473" s="49" t="s">
        <v>104</v>
      </c>
      <c r="C473" s="70" t="s">
        <v>32</v>
      </c>
      <c r="D473" s="70">
        <v>60</v>
      </c>
      <c r="E473" s="71">
        <v>10</v>
      </c>
      <c r="F473" s="98">
        <v>1</v>
      </c>
      <c r="G473" s="98">
        <v>637</v>
      </c>
      <c r="H473" s="54">
        <f t="shared" si="17"/>
        <v>0.20276920300000001</v>
      </c>
      <c r="I473" s="73" t="s">
        <v>171</v>
      </c>
    </row>
    <row r="474" spans="1:9" x14ac:dyDescent="0.2">
      <c r="A474" s="69" t="s">
        <v>111</v>
      </c>
      <c r="B474" s="41" t="s">
        <v>112</v>
      </c>
      <c r="C474" s="67" t="s">
        <v>32</v>
      </c>
      <c r="D474" s="67">
        <v>60</v>
      </c>
      <c r="E474" s="68">
        <v>0</v>
      </c>
      <c r="F474" s="99">
        <v>0</v>
      </c>
      <c r="G474" s="99">
        <v>17</v>
      </c>
      <c r="H474" s="46">
        <f t="shared" ref="H474:H529" si="18">G474/1000*0.318319</f>
        <v>5.4114230000000003E-3</v>
      </c>
      <c r="I474" s="69" t="s">
        <v>171</v>
      </c>
    </row>
    <row r="475" spans="1:9" x14ac:dyDescent="0.2">
      <c r="A475" s="69" t="s">
        <v>111</v>
      </c>
      <c r="B475" s="41" t="s">
        <v>112</v>
      </c>
      <c r="C475" s="67" t="s">
        <v>32</v>
      </c>
      <c r="D475" s="67">
        <v>60</v>
      </c>
      <c r="E475" s="68">
        <v>1</v>
      </c>
      <c r="F475" s="99">
        <v>0.16</v>
      </c>
      <c r="G475" s="99">
        <v>17</v>
      </c>
      <c r="H475" s="46">
        <f t="shared" si="18"/>
        <v>5.4114230000000003E-3</v>
      </c>
      <c r="I475" s="69" t="s">
        <v>171</v>
      </c>
    </row>
    <row r="476" spans="1:9" x14ac:dyDescent="0.2">
      <c r="A476" s="69" t="s">
        <v>101</v>
      </c>
      <c r="B476" s="41" t="s">
        <v>112</v>
      </c>
      <c r="C476" s="67" t="s">
        <v>32</v>
      </c>
      <c r="D476" s="67">
        <v>60</v>
      </c>
      <c r="E476" s="68">
        <v>2</v>
      </c>
      <c r="F476" s="99">
        <v>0.31</v>
      </c>
      <c r="G476" s="99">
        <v>56</v>
      </c>
      <c r="H476" s="46">
        <f t="shared" si="18"/>
        <v>1.7825864E-2</v>
      </c>
      <c r="I476" s="69" t="s">
        <v>171</v>
      </c>
    </row>
    <row r="477" spans="1:9" x14ac:dyDescent="0.2">
      <c r="A477" s="69" t="s">
        <v>101</v>
      </c>
      <c r="B477" s="41" t="s">
        <v>112</v>
      </c>
      <c r="C477" s="67" t="s">
        <v>32</v>
      </c>
      <c r="D477" s="67">
        <v>60</v>
      </c>
      <c r="E477" s="68">
        <v>3</v>
      </c>
      <c r="F477" s="99">
        <v>0.45</v>
      </c>
      <c r="G477" s="99">
        <v>218</v>
      </c>
      <c r="H477" s="46">
        <f t="shared" si="18"/>
        <v>6.9393542000000003E-2</v>
      </c>
      <c r="I477" s="69" t="s">
        <v>171</v>
      </c>
    </row>
    <row r="478" spans="1:9" x14ac:dyDescent="0.2">
      <c r="A478" s="69" t="s">
        <v>101</v>
      </c>
      <c r="B478" s="41" t="s">
        <v>112</v>
      </c>
      <c r="C478" s="67" t="s">
        <v>32</v>
      </c>
      <c r="D478" s="67">
        <v>60</v>
      </c>
      <c r="E478" s="68">
        <v>4</v>
      </c>
      <c r="F478" s="99">
        <v>0.6</v>
      </c>
      <c r="G478" s="99">
        <v>328</v>
      </c>
      <c r="H478" s="46">
        <f t="shared" si="18"/>
        <v>0.10440863200000002</v>
      </c>
      <c r="I478" s="69" t="s">
        <v>171</v>
      </c>
    </row>
    <row r="479" spans="1:9" x14ac:dyDescent="0.2">
      <c r="A479" s="69" t="s">
        <v>101</v>
      </c>
      <c r="B479" s="41" t="s">
        <v>112</v>
      </c>
      <c r="C479" s="67" t="s">
        <v>32</v>
      </c>
      <c r="D479" s="67">
        <v>60</v>
      </c>
      <c r="E479" s="68">
        <v>5</v>
      </c>
      <c r="F479" s="99">
        <v>0.73</v>
      </c>
      <c r="G479" s="99">
        <v>426</v>
      </c>
      <c r="H479" s="46">
        <f t="shared" si="18"/>
        <v>0.135603894</v>
      </c>
      <c r="I479" s="69" t="s">
        <v>171</v>
      </c>
    </row>
    <row r="480" spans="1:9" x14ac:dyDescent="0.2">
      <c r="A480" s="69" t="s">
        <v>101</v>
      </c>
      <c r="B480" s="41" t="s">
        <v>112</v>
      </c>
      <c r="C480" s="67" t="s">
        <v>32</v>
      </c>
      <c r="D480" s="67">
        <v>60</v>
      </c>
      <c r="E480" s="68">
        <v>7</v>
      </c>
      <c r="F480" s="99">
        <v>0.89</v>
      </c>
      <c r="G480" s="99">
        <v>579</v>
      </c>
      <c r="H480" s="46">
        <f t="shared" si="18"/>
        <v>0.18430670099999999</v>
      </c>
      <c r="I480" s="69" t="s">
        <v>171</v>
      </c>
    </row>
    <row r="481" spans="1:9" x14ac:dyDescent="0.2">
      <c r="A481" s="69" t="s">
        <v>101</v>
      </c>
      <c r="B481" s="41" t="s">
        <v>112</v>
      </c>
      <c r="C481" s="67" t="s">
        <v>32</v>
      </c>
      <c r="D481" s="67">
        <v>60</v>
      </c>
      <c r="E481" s="68">
        <v>10</v>
      </c>
      <c r="F481" s="99">
        <v>1</v>
      </c>
      <c r="G481" s="99">
        <v>679</v>
      </c>
      <c r="H481" s="46">
        <f t="shared" si="18"/>
        <v>0.21613860100000004</v>
      </c>
      <c r="I481" s="69" t="s">
        <v>171</v>
      </c>
    </row>
    <row r="482" spans="1:9" x14ac:dyDescent="0.2">
      <c r="A482" s="65" t="s">
        <v>116</v>
      </c>
      <c r="B482" s="60" t="s">
        <v>114</v>
      </c>
      <c r="C482" s="61" t="s">
        <v>32</v>
      </c>
      <c r="D482" s="61">
        <v>60</v>
      </c>
      <c r="E482" s="62">
        <v>0</v>
      </c>
      <c r="F482" s="100">
        <v>0</v>
      </c>
      <c r="G482" s="100">
        <v>7</v>
      </c>
      <c r="H482" s="64">
        <f t="shared" si="18"/>
        <v>2.228233E-3</v>
      </c>
      <c r="I482" s="65" t="s">
        <v>171</v>
      </c>
    </row>
    <row r="483" spans="1:9" x14ac:dyDescent="0.2">
      <c r="A483" s="65" t="s">
        <v>116</v>
      </c>
      <c r="B483" s="60" t="s">
        <v>114</v>
      </c>
      <c r="C483" s="61" t="s">
        <v>32</v>
      </c>
      <c r="D483" s="61">
        <v>60</v>
      </c>
      <c r="E483" s="62">
        <v>1</v>
      </c>
      <c r="F483" s="100">
        <v>0.16</v>
      </c>
      <c r="G483" s="100">
        <v>27</v>
      </c>
      <c r="H483" s="64">
        <f t="shared" si="18"/>
        <v>8.5946130000000009E-3</v>
      </c>
      <c r="I483" s="65" t="s">
        <v>171</v>
      </c>
    </row>
    <row r="484" spans="1:9" x14ac:dyDescent="0.2">
      <c r="A484" s="65" t="s">
        <v>115</v>
      </c>
      <c r="B484" s="60" t="s">
        <v>114</v>
      </c>
      <c r="C484" s="61" t="s">
        <v>32</v>
      </c>
      <c r="D484" s="61">
        <v>60</v>
      </c>
      <c r="E484" s="62">
        <v>2</v>
      </c>
      <c r="F484" s="100">
        <v>0.31</v>
      </c>
      <c r="G484" s="100">
        <v>77</v>
      </c>
      <c r="H484" s="64">
        <f t="shared" si="18"/>
        <v>2.4510563000000003E-2</v>
      </c>
      <c r="I484" s="65" t="s">
        <v>171</v>
      </c>
    </row>
    <row r="485" spans="1:9" x14ac:dyDescent="0.2">
      <c r="A485" s="65" t="s">
        <v>115</v>
      </c>
      <c r="B485" s="60" t="s">
        <v>114</v>
      </c>
      <c r="C485" s="61" t="s">
        <v>32</v>
      </c>
      <c r="D485" s="61">
        <v>60</v>
      </c>
      <c r="E485" s="62">
        <v>3</v>
      </c>
      <c r="F485" s="100">
        <v>0.46</v>
      </c>
      <c r="G485" s="100">
        <v>187</v>
      </c>
      <c r="H485" s="64">
        <f t="shared" si="18"/>
        <v>5.9525653000000005E-2</v>
      </c>
      <c r="I485" s="65" t="s">
        <v>171</v>
      </c>
    </row>
    <row r="486" spans="1:9" x14ac:dyDescent="0.2">
      <c r="A486" s="65" t="s">
        <v>115</v>
      </c>
      <c r="B486" s="60" t="s">
        <v>114</v>
      </c>
      <c r="C486" s="61" t="s">
        <v>32</v>
      </c>
      <c r="D486" s="61">
        <v>60</v>
      </c>
      <c r="E486" s="62">
        <v>4</v>
      </c>
      <c r="F486" s="100">
        <v>0.6</v>
      </c>
      <c r="G486" s="100">
        <v>306</v>
      </c>
      <c r="H486" s="64">
        <f t="shared" si="18"/>
        <v>9.7405614000000001E-2</v>
      </c>
      <c r="I486" s="65" t="s">
        <v>171</v>
      </c>
    </row>
    <row r="487" spans="1:9" x14ac:dyDescent="0.2">
      <c r="A487" s="65" t="s">
        <v>115</v>
      </c>
      <c r="B487" s="60" t="s">
        <v>114</v>
      </c>
      <c r="C487" s="61" t="s">
        <v>32</v>
      </c>
      <c r="D487" s="61">
        <v>60</v>
      </c>
      <c r="E487" s="62">
        <v>5</v>
      </c>
      <c r="F487" s="100">
        <v>0.73</v>
      </c>
      <c r="G487" s="100">
        <v>458</v>
      </c>
      <c r="H487" s="64">
        <f t="shared" si="18"/>
        <v>0.145790102</v>
      </c>
      <c r="I487" s="65" t="s">
        <v>171</v>
      </c>
    </row>
    <row r="488" spans="1:9" x14ac:dyDescent="0.2">
      <c r="A488" s="65" t="s">
        <v>115</v>
      </c>
      <c r="B488" s="60" t="s">
        <v>114</v>
      </c>
      <c r="C488" s="61" t="s">
        <v>32</v>
      </c>
      <c r="D488" s="61">
        <v>60</v>
      </c>
      <c r="E488" s="62">
        <v>7</v>
      </c>
      <c r="F488" s="100">
        <v>0.9</v>
      </c>
      <c r="G488" s="100">
        <v>598</v>
      </c>
      <c r="H488" s="64">
        <f t="shared" si="18"/>
        <v>0.19035476200000001</v>
      </c>
      <c r="I488" s="65" t="s">
        <v>171</v>
      </c>
    </row>
    <row r="489" spans="1:9" x14ac:dyDescent="0.2">
      <c r="A489" s="65" t="s">
        <v>115</v>
      </c>
      <c r="B489" s="60" t="s">
        <v>114</v>
      </c>
      <c r="C489" s="61" t="s">
        <v>32</v>
      </c>
      <c r="D489" s="61">
        <v>60</v>
      </c>
      <c r="E489" s="62">
        <v>10</v>
      </c>
      <c r="F489" s="100">
        <v>1</v>
      </c>
      <c r="G489" s="100">
        <v>677</v>
      </c>
      <c r="H489" s="64">
        <f t="shared" si="18"/>
        <v>0.21550196300000002</v>
      </c>
      <c r="I489" s="65" t="s">
        <v>171</v>
      </c>
    </row>
    <row r="490" spans="1:9" x14ac:dyDescent="0.2">
      <c r="A490" s="92" t="s">
        <v>174</v>
      </c>
      <c r="B490" s="93" t="s">
        <v>175</v>
      </c>
      <c r="C490" s="94" t="s">
        <v>32</v>
      </c>
      <c r="D490" s="94">
        <v>60</v>
      </c>
      <c r="E490" s="95">
        <v>0</v>
      </c>
      <c r="F490" s="96">
        <v>0</v>
      </c>
      <c r="G490" s="96">
        <v>8</v>
      </c>
      <c r="H490" s="97">
        <f t="shared" si="18"/>
        <v>2.5465520000000001E-3</v>
      </c>
      <c r="I490" s="92" t="s">
        <v>176</v>
      </c>
    </row>
    <row r="491" spans="1:9" x14ac:dyDescent="0.2">
      <c r="A491" s="92" t="s">
        <v>174</v>
      </c>
      <c r="B491" s="93" t="s">
        <v>175</v>
      </c>
      <c r="C491" s="94" t="s">
        <v>32</v>
      </c>
      <c r="D491" s="94">
        <v>60</v>
      </c>
      <c r="E491" s="95">
        <v>1</v>
      </c>
      <c r="F491" s="96">
        <v>0.16</v>
      </c>
      <c r="G491" s="96">
        <v>17</v>
      </c>
      <c r="H491" s="97">
        <f t="shared" si="18"/>
        <v>5.4114230000000003E-3</v>
      </c>
      <c r="I491" s="92" t="s">
        <v>176</v>
      </c>
    </row>
    <row r="492" spans="1:9" x14ac:dyDescent="0.2">
      <c r="A492" s="92" t="s">
        <v>177</v>
      </c>
      <c r="B492" s="93" t="s">
        <v>175</v>
      </c>
      <c r="C492" s="94" t="s">
        <v>32</v>
      </c>
      <c r="D492" s="94">
        <v>60</v>
      </c>
      <c r="E492" s="95">
        <v>2</v>
      </c>
      <c r="F492" s="96">
        <v>0.32</v>
      </c>
      <c r="G492" s="96">
        <v>109</v>
      </c>
      <c r="H492" s="97">
        <f t="shared" si="18"/>
        <v>3.4696771000000001E-2</v>
      </c>
      <c r="I492" s="92" t="s">
        <v>178</v>
      </c>
    </row>
    <row r="493" spans="1:9" x14ac:dyDescent="0.2">
      <c r="A493" s="92" t="s">
        <v>177</v>
      </c>
      <c r="B493" s="93" t="s">
        <v>175</v>
      </c>
      <c r="C493" s="94" t="s">
        <v>32</v>
      </c>
      <c r="D493" s="94">
        <v>60</v>
      </c>
      <c r="E493" s="95">
        <v>3</v>
      </c>
      <c r="F493" s="96">
        <v>0.47</v>
      </c>
      <c r="G493" s="96">
        <v>208</v>
      </c>
      <c r="H493" s="97">
        <f t="shared" si="18"/>
        <v>6.6210352E-2</v>
      </c>
      <c r="I493" s="92" t="s">
        <v>178</v>
      </c>
    </row>
    <row r="494" spans="1:9" x14ac:dyDescent="0.2">
      <c r="A494" s="92" t="s">
        <v>177</v>
      </c>
      <c r="B494" s="93" t="s">
        <v>175</v>
      </c>
      <c r="C494" s="94" t="s">
        <v>32</v>
      </c>
      <c r="D494" s="94">
        <v>60</v>
      </c>
      <c r="E494" s="95">
        <v>4</v>
      </c>
      <c r="F494" s="96">
        <v>0.61</v>
      </c>
      <c r="G494" s="96">
        <v>348</v>
      </c>
      <c r="H494" s="97">
        <f t="shared" si="18"/>
        <v>0.11077501199999999</v>
      </c>
      <c r="I494" s="92" t="s">
        <v>178</v>
      </c>
    </row>
    <row r="495" spans="1:9" x14ac:dyDescent="0.2">
      <c r="A495" s="92" t="s">
        <v>177</v>
      </c>
      <c r="B495" s="93" t="s">
        <v>175</v>
      </c>
      <c r="C495" s="94" t="s">
        <v>32</v>
      </c>
      <c r="D495" s="94">
        <v>60</v>
      </c>
      <c r="E495" s="95">
        <v>5</v>
      </c>
      <c r="F495" s="96">
        <v>0.74</v>
      </c>
      <c r="G495" s="96">
        <v>417</v>
      </c>
      <c r="H495" s="97">
        <f t="shared" si="18"/>
        <v>0.13273902300000001</v>
      </c>
      <c r="I495" s="92" t="s">
        <v>178</v>
      </c>
    </row>
    <row r="496" spans="1:9" x14ac:dyDescent="0.2">
      <c r="A496" s="92" t="s">
        <v>177</v>
      </c>
      <c r="B496" s="93" t="s">
        <v>175</v>
      </c>
      <c r="C496" s="94" t="s">
        <v>32</v>
      </c>
      <c r="D496" s="94">
        <v>60</v>
      </c>
      <c r="E496" s="95">
        <v>7</v>
      </c>
      <c r="F496" s="96">
        <v>0.92</v>
      </c>
      <c r="G496" s="96">
        <v>600</v>
      </c>
      <c r="H496" s="97">
        <f t="shared" si="18"/>
        <v>0.19099140000000001</v>
      </c>
      <c r="I496" s="92" t="s">
        <v>178</v>
      </c>
    </row>
    <row r="497" spans="1:9" x14ac:dyDescent="0.2">
      <c r="A497" s="92" t="s">
        <v>177</v>
      </c>
      <c r="B497" s="93" t="s">
        <v>175</v>
      </c>
      <c r="C497" s="94" t="s">
        <v>32</v>
      </c>
      <c r="D497" s="94">
        <v>60</v>
      </c>
      <c r="E497" s="95">
        <v>10</v>
      </c>
      <c r="F497" s="96">
        <v>1.03</v>
      </c>
      <c r="G497" s="96">
        <v>769</v>
      </c>
      <c r="H497" s="97">
        <f t="shared" si="18"/>
        <v>0.24478731100000001</v>
      </c>
      <c r="I497" s="92" t="s">
        <v>178</v>
      </c>
    </row>
    <row r="498" spans="1:9" x14ac:dyDescent="0.2">
      <c r="A498" s="73" t="s">
        <v>44</v>
      </c>
      <c r="B498" s="49" t="s">
        <v>26</v>
      </c>
      <c r="C498" s="70" t="s">
        <v>32</v>
      </c>
      <c r="D498" s="70">
        <v>60</v>
      </c>
      <c r="E498" s="71">
        <v>0</v>
      </c>
      <c r="F498" s="98">
        <v>0</v>
      </c>
      <c r="G498" s="98">
        <v>6</v>
      </c>
      <c r="H498" s="54">
        <f t="shared" si="18"/>
        <v>1.9099140000000002E-3</v>
      </c>
      <c r="I498" s="73" t="s">
        <v>178</v>
      </c>
    </row>
    <row r="499" spans="1:9" x14ac:dyDescent="0.2">
      <c r="A499" s="73" t="s">
        <v>44</v>
      </c>
      <c r="B499" s="49" t="s">
        <v>26</v>
      </c>
      <c r="C499" s="70" t="s">
        <v>32</v>
      </c>
      <c r="D499" s="70">
        <v>60</v>
      </c>
      <c r="E499" s="71">
        <v>1</v>
      </c>
      <c r="F499" s="98">
        <v>0.17</v>
      </c>
      <c r="G499" s="98">
        <v>7</v>
      </c>
      <c r="H499" s="54">
        <f t="shared" si="18"/>
        <v>2.228233E-3</v>
      </c>
      <c r="I499" s="73" t="s">
        <v>178</v>
      </c>
    </row>
    <row r="500" spans="1:9" x14ac:dyDescent="0.2">
      <c r="A500" s="73" t="s">
        <v>44</v>
      </c>
      <c r="B500" s="49" t="s">
        <v>26</v>
      </c>
      <c r="C500" s="70" t="s">
        <v>32</v>
      </c>
      <c r="D500" s="70">
        <v>60</v>
      </c>
      <c r="E500" s="71">
        <v>2</v>
      </c>
      <c r="F500" s="98">
        <v>0.33</v>
      </c>
      <c r="G500" s="98">
        <v>95</v>
      </c>
      <c r="H500" s="54">
        <f t="shared" si="18"/>
        <v>3.0240305000000002E-2</v>
      </c>
      <c r="I500" s="73" t="s">
        <v>178</v>
      </c>
    </row>
    <row r="501" spans="1:9" x14ac:dyDescent="0.2">
      <c r="A501" s="73" t="s">
        <v>44</v>
      </c>
      <c r="B501" s="49" t="s">
        <v>26</v>
      </c>
      <c r="C501" s="70" t="s">
        <v>32</v>
      </c>
      <c r="D501" s="70">
        <v>60</v>
      </c>
      <c r="E501" s="71">
        <v>3</v>
      </c>
      <c r="F501" s="98">
        <v>0.48</v>
      </c>
      <c r="G501" s="98">
        <v>217</v>
      </c>
      <c r="H501" s="54">
        <f t="shared" si="18"/>
        <v>6.9075223000000005E-2</v>
      </c>
      <c r="I501" s="73" t="s">
        <v>178</v>
      </c>
    </row>
    <row r="502" spans="1:9" x14ac:dyDescent="0.2">
      <c r="A502" s="73" t="s">
        <v>44</v>
      </c>
      <c r="B502" s="49" t="s">
        <v>26</v>
      </c>
      <c r="C502" s="70" t="s">
        <v>32</v>
      </c>
      <c r="D502" s="70">
        <v>60</v>
      </c>
      <c r="E502" s="71">
        <v>4</v>
      </c>
      <c r="F502" s="98">
        <v>0.63</v>
      </c>
      <c r="G502" s="98">
        <v>396</v>
      </c>
      <c r="H502" s="54">
        <f t="shared" si="18"/>
        <v>0.12605432400000002</v>
      </c>
      <c r="I502" s="73" t="s">
        <v>178</v>
      </c>
    </row>
    <row r="503" spans="1:9" x14ac:dyDescent="0.2">
      <c r="A503" s="73" t="s">
        <v>44</v>
      </c>
      <c r="B503" s="49" t="s">
        <v>26</v>
      </c>
      <c r="C503" s="70" t="s">
        <v>32</v>
      </c>
      <c r="D503" s="70">
        <v>60</v>
      </c>
      <c r="E503" s="71">
        <v>5</v>
      </c>
      <c r="F503" s="98">
        <v>0.76</v>
      </c>
      <c r="G503" s="98">
        <v>516</v>
      </c>
      <c r="H503" s="54">
        <f t="shared" si="18"/>
        <v>0.16425260400000002</v>
      </c>
      <c r="I503" s="73" t="s">
        <v>178</v>
      </c>
    </row>
    <row r="504" spans="1:9" x14ac:dyDescent="0.2">
      <c r="A504" s="73" t="s">
        <v>44</v>
      </c>
      <c r="B504" s="49" t="s">
        <v>26</v>
      </c>
      <c r="C504" s="70" t="s">
        <v>32</v>
      </c>
      <c r="D504" s="70">
        <v>60</v>
      </c>
      <c r="E504" s="71">
        <v>7</v>
      </c>
      <c r="F504" s="98">
        <v>0.93</v>
      </c>
      <c r="G504" s="98">
        <v>758</v>
      </c>
      <c r="H504" s="54">
        <f t="shared" si="18"/>
        <v>0.24128580200000002</v>
      </c>
      <c r="I504" s="73" t="s">
        <v>178</v>
      </c>
    </row>
    <row r="505" spans="1:9" x14ac:dyDescent="0.2">
      <c r="A505" s="73" t="s">
        <v>44</v>
      </c>
      <c r="B505" s="49" t="s">
        <v>26</v>
      </c>
      <c r="C505" s="70" t="s">
        <v>32</v>
      </c>
      <c r="D505" s="70">
        <v>60</v>
      </c>
      <c r="E505" s="71">
        <v>10</v>
      </c>
      <c r="F505" s="98">
        <v>1.04</v>
      </c>
      <c r="G505" s="98">
        <v>1080</v>
      </c>
      <c r="H505" s="54">
        <f t="shared" si="18"/>
        <v>0.34378452000000004</v>
      </c>
      <c r="I505" s="73" t="s">
        <v>178</v>
      </c>
    </row>
    <row r="506" spans="1:9" x14ac:dyDescent="0.2">
      <c r="A506" s="69" t="s">
        <v>154</v>
      </c>
      <c r="B506" s="41" t="s">
        <v>156</v>
      </c>
      <c r="C506" s="67" t="s">
        <v>32</v>
      </c>
      <c r="D506" s="67">
        <v>60</v>
      </c>
      <c r="E506" s="68">
        <v>0</v>
      </c>
      <c r="F506" s="99">
        <v>0</v>
      </c>
      <c r="G506" s="99">
        <v>298</v>
      </c>
      <c r="H506" s="46">
        <f t="shared" si="18"/>
        <v>9.4859062000000008E-2</v>
      </c>
      <c r="I506" s="69" t="s">
        <v>178</v>
      </c>
    </row>
    <row r="507" spans="1:9" x14ac:dyDescent="0.2">
      <c r="A507" s="69" t="s">
        <v>154</v>
      </c>
      <c r="B507" s="41" t="s">
        <v>156</v>
      </c>
      <c r="C507" s="67" t="s">
        <v>32</v>
      </c>
      <c r="D507" s="67">
        <v>60</v>
      </c>
      <c r="E507" s="68">
        <v>1</v>
      </c>
      <c r="F507" s="44">
        <v>0.16</v>
      </c>
      <c r="G507" s="99">
        <v>309</v>
      </c>
      <c r="H507" s="46">
        <f t="shared" si="18"/>
        <v>9.8360571000000008E-2</v>
      </c>
      <c r="I507" s="69" t="s">
        <v>178</v>
      </c>
    </row>
    <row r="508" spans="1:9" x14ac:dyDescent="0.2">
      <c r="A508" s="69" t="s">
        <v>172</v>
      </c>
      <c r="B508" s="41" t="s">
        <v>156</v>
      </c>
      <c r="C508" s="67" t="s">
        <v>32</v>
      </c>
      <c r="D508" s="67">
        <v>60</v>
      </c>
      <c r="E508" s="68">
        <v>2</v>
      </c>
      <c r="F508" s="44">
        <v>0.31</v>
      </c>
      <c r="G508" s="99">
        <v>349</v>
      </c>
      <c r="H508" s="46">
        <f t="shared" si="18"/>
        <v>0.111093331</v>
      </c>
      <c r="I508" s="69" t="s">
        <v>178</v>
      </c>
    </row>
    <row r="509" spans="1:9" x14ac:dyDescent="0.2">
      <c r="A509" s="69" t="s">
        <v>172</v>
      </c>
      <c r="B509" s="41" t="s">
        <v>156</v>
      </c>
      <c r="C509" s="67" t="s">
        <v>32</v>
      </c>
      <c r="D509" s="67">
        <v>60</v>
      </c>
      <c r="E509" s="68">
        <v>3</v>
      </c>
      <c r="F509" s="44">
        <v>0.45</v>
      </c>
      <c r="G509" s="99">
        <v>441</v>
      </c>
      <c r="H509" s="46">
        <f t="shared" si="18"/>
        <v>0.14037867900000001</v>
      </c>
      <c r="I509" s="69" t="s">
        <v>178</v>
      </c>
    </row>
    <row r="510" spans="1:9" x14ac:dyDescent="0.2">
      <c r="A510" s="69" t="s">
        <v>172</v>
      </c>
      <c r="B510" s="41" t="s">
        <v>156</v>
      </c>
      <c r="C510" s="67" t="s">
        <v>32</v>
      </c>
      <c r="D510" s="67">
        <v>60</v>
      </c>
      <c r="E510" s="68">
        <v>4</v>
      </c>
      <c r="F510" s="44">
        <v>0.59</v>
      </c>
      <c r="G510" s="99">
        <v>659</v>
      </c>
      <c r="H510" s="46">
        <f t="shared" si="18"/>
        <v>0.20977222100000001</v>
      </c>
      <c r="I510" s="69" t="s">
        <v>178</v>
      </c>
    </row>
    <row r="511" spans="1:9" x14ac:dyDescent="0.2">
      <c r="A511" s="69" t="s">
        <v>172</v>
      </c>
      <c r="B511" s="41" t="s">
        <v>156</v>
      </c>
      <c r="C511" s="67" t="s">
        <v>32</v>
      </c>
      <c r="D511" s="67">
        <v>60</v>
      </c>
      <c r="E511" s="68">
        <v>5</v>
      </c>
      <c r="F511" s="44">
        <v>0.72</v>
      </c>
      <c r="G511" s="99">
        <v>741</v>
      </c>
      <c r="H511" s="46">
        <f t="shared" si="18"/>
        <v>0.23587437900000002</v>
      </c>
      <c r="I511" s="69" t="s">
        <v>178</v>
      </c>
    </row>
    <row r="512" spans="1:9" x14ac:dyDescent="0.2">
      <c r="A512" s="69" t="s">
        <v>172</v>
      </c>
      <c r="B512" s="41" t="s">
        <v>156</v>
      </c>
      <c r="C512" s="67" t="s">
        <v>32</v>
      </c>
      <c r="D512" s="67">
        <v>60</v>
      </c>
      <c r="E512" s="68">
        <v>7</v>
      </c>
      <c r="F512" s="44">
        <v>0.89</v>
      </c>
      <c r="G512" s="99">
        <v>841</v>
      </c>
      <c r="H512" s="46">
        <f t="shared" si="18"/>
        <v>0.26770627899999999</v>
      </c>
      <c r="I512" s="69" t="s">
        <v>178</v>
      </c>
    </row>
    <row r="513" spans="1:9" x14ac:dyDescent="0.2">
      <c r="A513" s="69" t="s">
        <v>172</v>
      </c>
      <c r="B513" s="41" t="s">
        <v>156</v>
      </c>
      <c r="C513" s="67" t="s">
        <v>32</v>
      </c>
      <c r="D513" s="67">
        <v>60</v>
      </c>
      <c r="E513" s="68">
        <v>10</v>
      </c>
      <c r="F513" s="44">
        <v>1</v>
      </c>
      <c r="G513" s="99">
        <v>901</v>
      </c>
      <c r="H513" s="46">
        <f t="shared" si="18"/>
        <v>0.28680541900000001</v>
      </c>
      <c r="I513" s="69" t="s">
        <v>178</v>
      </c>
    </row>
    <row r="514" spans="1:9" x14ac:dyDescent="0.2">
      <c r="A514" s="75" t="s">
        <v>45</v>
      </c>
      <c r="B514" s="76" t="s">
        <v>35</v>
      </c>
      <c r="C514" s="77" t="s">
        <v>32</v>
      </c>
      <c r="D514" s="77">
        <v>60</v>
      </c>
      <c r="E514" s="78">
        <v>0</v>
      </c>
      <c r="F514" s="101">
        <v>0</v>
      </c>
      <c r="G514" s="101">
        <v>250</v>
      </c>
      <c r="H514" s="81">
        <f t="shared" si="18"/>
        <v>7.9579750000000005E-2</v>
      </c>
      <c r="I514" s="75" t="s">
        <v>178</v>
      </c>
    </row>
    <row r="515" spans="1:9" x14ac:dyDescent="0.2">
      <c r="A515" s="75" t="s">
        <v>45</v>
      </c>
      <c r="B515" s="76" t="s">
        <v>35</v>
      </c>
      <c r="C515" s="77" t="s">
        <v>32</v>
      </c>
      <c r="D515" s="77">
        <v>60</v>
      </c>
      <c r="E515" s="78">
        <v>1</v>
      </c>
      <c r="F515" s="101">
        <v>0.16</v>
      </c>
      <c r="G515" s="101">
        <v>329</v>
      </c>
      <c r="H515" s="81">
        <f t="shared" si="18"/>
        <v>0.10472695100000001</v>
      </c>
      <c r="I515" s="75" t="s">
        <v>178</v>
      </c>
    </row>
    <row r="516" spans="1:9" x14ac:dyDescent="0.2">
      <c r="A516" s="75" t="s">
        <v>179</v>
      </c>
      <c r="B516" s="76" t="s">
        <v>37</v>
      </c>
      <c r="C516" s="77" t="s">
        <v>32</v>
      </c>
      <c r="D516" s="77">
        <v>60</v>
      </c>
      <c r="E516" s="78">
        <v>2</v>
      </c>
      <c r="F516" s="101">
        <v>0.31</v>
      </c>
      <c r="G516" s="101">
        <v>350</v>
      </c>
      <c r="H516" s="81">
        <f t="shared" si="18"/>
        <v>0.11141165</v>
      </c>
      <c r="I516" s="75" t="s">
        <v>178</v>
      </c>
    </row>
    <row r="517" spans="1:9" x14ac:dyDescent="0.2">
      <c r="A517" s="75" t="s">
        <v>179</v>
      </c>
      <c r="B517" s="76" t="s">
        <v>37</v>
      </c>
      <c r="C517" s="77" t="s">
        <v>32</v>
      </c>
      <c r="D517" s="77">
        <v>60</v>
      </c>
      <c r="E517" s="78">
        <v>3</v>
      </c>
      <c r="F517" s="101">
        <v>0.46</v>
      </c>
      <c r="G517" s="101">
        <v>438</v>
      </c>
      <c r="H517" s="81">
        <f t="shared" si="18"/>
        <v>0.139423722</v>
      </c>
      <c r="I517" s="75" t="s">
        <v>178</v>
      </c>
    </row>
    <row r="518" spans="1:9" x14ac:dyDescent="0.2">
      <c r="A518" s="75" t="s">
        <v>179</v>
      </c>
      <c r="B518" s="76" t="s">
        <v>37</v>
      </c>
      <c r="C518" s="77" t="s">
        <v>32</v>
      </c>
      <c r="D518" s="77">
        <v>60</v>
      </c>
      <c r="E518" s="78">
        <v>4</v>
      </c>
      <c r="F518" s="101">
        <v>0.6</v>
      </c>
      <c r="G518" s="101">
        <v>528</v>
      </c>
      <c r="H518" s="81">
        <f t="shared" si="18"/>
        <v>0.16807243200000002</v>
      </c>
      <c r="I518" s="75" t="s">
        <v>178</v>
      </c>
    </row>
    <row r="519" spans="1:9" x14ac:dyDescent="0.2">
      <c r="A519" s="75" t="s">
        <v>179</v>
      </c>
      <c r="B519" s="76" t="s">
        <v>37</v>
      </c>
      <c r="C519" s="77" t="s">
        <v>32</v>
      </c>
      <c r="D519" s="77">
        <v>60</v>
      </c>
      <c r="E519" s="78">
        <v>5</v>
      </c>
      <c r="F519" s="101">
        <v>0.73</v>
      </c>
      <c r="G519" s="101">
        <v>621</v>
      </c>
      <c r="H519" s="81">
        <f t="shared" si="18"/>
        <v>0.19767609900000002</v>
      </c>
      <c r="I519" s="75" t="s">
        <v>178</v>
      </c>
    </row>
    <row r="520" spans="1:9" x14ac:dyDescent="0.2">
      <c r="A520" s="75" t="s">
        <v>179</v>
      </c>
      <c r="B520" s="76" t="s">
        <v>37</v>
      </c>
      <c r="C520" s="77" t="s">
        <v>32</v>
      </c>
      <c r="D520" s="77">
        <v>60</v>
      </c>
      <c r="E520" s="78">
        <v>7</v>
      </c>
      <c r="F520" s="101">
        <v>0.9</v>
      </c>
      <c r="G520" s="101">
        <v>821</v>
      </c>
      <c r="H520" s="81">
        <f t="shared" si="18"/>
        <v>0.26133989899999999</v>
      </c>
      <c r="I520" s="75" t="s">
        <v>178</v>
      </c>
    </row>
    <row r="521" spans="1:9" x14ac:dyDescent="0.2">
      <c r="A521" s="75" t="s">
        <v>179</v>
      </c>
      <c r="B521" s="76" t="s">
        <v>37</v>
      </c>
      <c r="C521" s="77" t="s">
        <v>32</v>
      </c>
      <c r="D521" s="77">
        <v>60</v>
      </c>
      <c r="E521" s="78">
        <v>10</v>
      </c>
      <c r="F521" s="101">
        <v>1.01</v>
      </c>
      <c r="G521" s="101">
        <v>879</v>
      </c>
      <c r="H521" s="81">
        <f t="shared" si="18"/>
        <v>0.27980240100000003</v>
      </c>
      <c r="I521" s="75" t="s">
        <v>178</v>
      </c>
    </row>
    <row r="522" spans="1:9" x14ac:dyDescent="0.2">
      <c r="A522" s="73" t="s">
        <v>45</v>
      </c>
      <c r="B522" s="49" t="s">
        <v>37</v>
      </c>
      <c r="C522" s="70" t="s">
        <v>32</v>
      </c>
      <c r="D522" s="70">
        <v>60</v>
      </c>
      <c r="E522" s="71">
        <v>0</v>
      </c>
      <c r="F522" s="98">
        <v>0</v>
      </c>
      <c r="G522" s="98">
        <v>168</v>
      </c>
      <c r="H522" s="54">
        <f t="shared" si="18"/>
        <v>5.3477592000000004E-2</v>
      </c>
      <c r="I522" s="73" t="s">
        <v>180</v>
      </c>
    </row>
    <row r="523" spans="1:9" x14ac:dyDescent="0.2">
      <c r="A523" s="73" t="s">
        <v>45</v>
      </c>
      <c r="B523" s="49" t="s">
        <v>37</v>
      </c>
      <c r="C523" s="70" t="s">
        <v>32</v>
      </c>
      <c r="D523" s="70">
        <v>60</v>
      </c>
      <c r="E523" s="71">
        <v>1</v>
      </c>
      <c r="F523" s="98">
        <v>0.15</v>
      </c>
      <c r="G523" s="98">
        <v>318</v>
      </c>
      <c r="H523" s="54">
        <f t="shared" si="18"/>
        <v>0.10122544200000001</v>
      </c>
      <c r="I523" s="73" t="s">
        <v>180</v>
      </c>
    </row>
    <row r="524" spans="1:9" x14ac:dyDescent="0.2">
      <c r="A524" s="73" t="s">
        <v>179</v>
      </c>
      <c r="B524" s="49" t="s">
        <v>37</v>
      </c>
      <c r="C524" s="70" t="s">
        <v>32</v>
      </c>
      <c r="D524" s="70">
        <v>60</v>
      </c>
      <c r="E524" s="71">
        <v>2</v>
      </c>
      <c r="F524" s="98">
        <v>0.28999999999999998</v>
      </c>
      <c r="G524" s="98">
        <v>407</v>
      </c>
      <c r="H524" s="54">
        <f t="shared" si="18"/>
        <v>0.12955583300000001</v>
      </c>
      <c r="I524" s="73" t="s">
        <v>180</v>
      </c>
    </row>
    <row r="525" spans="1:9" x14ac:dyDescent="0.2">
      <c r="A525" s="73" t="s">
        <v>179</v>
      </c>
      <c r="B525" s="49" t="s">
        <v>37</v>
      </c>
      <c r="C525" s="70" t="s">
        <v>32</v>
      </c>
      <c r="D525" s="70">
        <v>60</v>
      </c>
      <c r="E525" s="71">
        <v>3</v>
      </c>
      <c r="F525" s="98">
        <v>0.44</v>
      </c>
      <c r="G525" s="98">
        <v>529</v>
      </c>
      <c r="H525" s="54">
        <f t="shared" si="18"/>
        <v>0.16839075100000001</v>
      </c>
      <c r="I525" s="73" t="s">
        <v>180</v>
      </c>
    </row>
    <row r="526" spans="1:9" x14ac:dyDescent="0.2">
      <c r="A526" s="73" t="s">
        <v>179</v>
      </c>
      <c r="B526" s="49" t="s">
        <v>37</v>
      </c>
      <c r="C526" s="70" t="s">
        <v>32</v>
      </c>
      <c r="D526" s="70">
        <v>60</v>
      </c>
      <c r="E526" s="71">
        <v>4</v>
      </c>
      <c r="F526" s="98">
        <v>0.56999999999999995</v>
      </c>
      <c r="G526" s="98">
        <v>621</v>
      </c>
      <c r="H526" s="54">
        <f t="shared" si="18"/>
        <v>0.19767609900000002</v>
      </c>
      <c r="I526" s="73" t="s">
        <v>180</v>
      </c>
    </row>
    <row r="527" spans="1:9" x14ac:dyDescent="0.2">
      <c r="A527" s="73" t="s">
        <v>179</v>
      </c>
      <c r="B527" s="49" t="s">
        <v>37</v>
      </c>
      <c r="C527" s="70" t="s">
        <v>32</v>
      </c>
      <c r="D527" s="70">
        <v>60</v>
      </c>
      <c r="E527" s="71">
        <v>5</v>
      </c>
      <c r="F527" s="98">
        <v>0.7</v>
      </c>
      <c r="G527" s="98">
        <v>720</v>
      </c>
      <c r="H527" s="54">
        <f t="shared" si="18"/>
        <v>0.22918968000000001</v>
      </c>
      <c r="I527" s="73" t="s">
        <v>180</v>
      </c>
    </row>
    <row r="528" spans="1:9" x14ac:dyDescent="0.2">
      <c r="A528" s="73" t="s">
        <v>179</v>
      </c>
      <c r="B528" s="49" t="s">
        <v>37</v>
      </c>
      <c r="C528" s="70" t="s">
        <v>32</v>
      </c>
      <c r="D528" s="70">
        <v>60</v>
      </c>
      <c r="E528" s="71">
        <v>7</v>
      </c>
      <c r="F528" s="98">
        <v>0.87</v>
      </c>
      <c r="G528" s="98">
        <v>820</v>
      </c>
      <c r="H528" s="54">
        <f t="shared" si="18"/>
        <v>0.26102157999999998</v>
      </c>
      <c r="I528" s="73" t="s">
        <v>180</v>
      </c>
    </row>
    <row r="529" spans="1:12" x14ac:dyDescent="0.2">
      <c r="A529" s="73" t="s">
        <v>179</v>
      </c>
      <c r="B529" s="49" t="s">
        <v>37</v>
      </c>
      <c r="C529" s="70" t="s">
        <v>32</v>
      </c>
      <c r="D529" s="70">
        <v>60</v>
      </c>
      <c r="E529" s="71">
        <v>10</v>
      </c>
      <c r="F529" s="98">
        <v>0.98</v>
      </c>
      <c r="G529" s="98">
        <v>999</v>
      </c>
      <c r="H529" s="54">
        <f t="shared" si="18"/>
        <v>0.31800068100000001</v>
      </c>
      <c r="I529" s="73" t="s">
        <v>180</v>
      </c>
    </row>
    <row r="530" spans="1:12" x14ac:dyDescent="0.2">
      <c r="A530" s="69" t="s">
        <v>154</v>
      </c>
      <c r="B530" s="41" t="s">
        <v>156</v>
      </c>
      <c r="C530" s="67" t="s">
        <v>32</v>
      </c>
      <c r="D530" s="67">
        <v>60</v>
      </c>
      <c r="E530" s="68">
        <v>0</v>
      </c>
      <c r="F530" s="99">
        <v>0</v>
      </c>
      <c r="G530" s="99">
        <v>229</v>
      </c>
      <c r="H530" s="46">
        <f t="shared" ref="H530:H537" si="19">G530/1000*0.318319</f>
        <v>7.2895051000000002E-2</v>
      </c>
      <c r="I530" s="69" t="s">
        <v>180</v>
      </c>
    </row>
    <row r="531" spans="1:12" x14ac:dyDescent="0.2">
      <c r="A531" s="69" t="s">
        <v>154</v>
      </c>
      <c r="B531" s="41" t="s">
        <v>156</v>
      </c>
      <c r="C531" s="67" t="s">
        <v>32</v>
      </c>
      <c r="D531" s="67">
        <v>60</v>
      </c>
      <c r="E531" s="68">
        <v>1</v>
      </c>
      <c r="F531" s="99">
        <v>0.15</v>
      </c>
      <c r="G531" s="99">
        <v>360</v>
      </c>
      <c r="H531" s="46">
        <f t="shared" si="19"/>
        <v>0.11459484</v>
      </c>
      <c r="I531" s="69" t="s">
        <v>180</v>
      </c>
    </row>
    <row r="532" spans="1:12" x14ac:dyDescent="0.2">
      <c r="A532" s="69" t="s">
        <v>172</v>
      </c>
      <c r="B532" s="41" t="s">
        <v>156</v>
      </c>
      <c r="C532" s="67" t="s">
        <v>32</v>
      </c>
      <c r="D532" s="67">
        <v>60</v>
      </c>
      <c r="E532" s="68">
        <v>2</v>
      </c>
      <c r="F532" s="99">
        <v>0.3</v>
      </c>
      <c r="G532" s="99">
        <v>480</v>
      </c>
      <c r="H532" s="46">
        <f t="shared" si="19"/>
        <v>0.15279312</v>
      </c>
      <c r="I532" s="69" t="s">
        <v>180</v>
      </c>
    </row>
    <row r="533" spans="1:12" x14ac:dyDescent="0.2">
      <c r="A533" s="69" t="s">
        <v>172</v>
      </c>
      <c r="B533" s="41" t="s">
        <v>156</v>
      </c>
      <c r="C533" s="67" t="s">
        <v>32</v>
      </c>
      <c r="D533" s="67">
        <v>60</v>
      </c>
      <c r="E533" s="68">
        <v>3</v>
      </c>
      <c r="F533" s="99">
        <v>0.44</v>
      </c>
      <c r="G533" s="99">
        <v>590</v>
      </c>
      <c r="H533" s="46">
        <f t="shared" si="19"/>
        <v>0.18780821</v>
      </c>
      <c r="I533" s="69" t="s">
        <v>180</v>
      </c>
    </row>
    <row r="534" spans="1:12" x14ac:dyDescent="0.2">
      <c r="A534" s="69" t="s">
        <v>172</v>
      </c>
      <c r="B534" s="41" t="s">
        <v>156</v>
      </c>
      <c r="C534" s="67" t="s">
        <v>32</v>
      </c>
      <c r="D534" s="67">
        <v>60</v>
      </c>
      <c r="E534" s="68">
        <v>4</v>
      </c>
      <c r="F534" s="99">
        <v>0.56999999999999995</v>
      </c>
      <c r="G534" s="99">
        <v>752</v>
      </c>
      <c r="H534" s="46">
        <f t="shared" si="19"/>
        <v>0.23937588800000001</v>
      </c>
      <c r="I534" s="69" t="s">
        <v>180</v>
      </c>
    </row>
    <row r="535" spans="1:12" x14ac:dyDescent="0.2">
      <c r="A535" s="69" t="s">
        <v>172</v>
      </c>
      <c r="B535" s="41" t="s">
        <v>156</v>
      </c>
      <c r="C535" s="67" t="s">
        <v>32</v>
      </c>
      <c r="D535" s="67">
        <v>60</v>
      </c>
      <c r="E535" s="68">
        <v>5</v>
      </c>
      <c r="F535" s="99">
        <v>0.7</v>
      </c>
      <c r="G535" s="99">
        <v>841</v>
      </c>
      <c r="H535" s="46">
        <f t="shared" si="19"/>
        <v>0.26770627899999999</v>
      </c>
      <c r="I535" s="69" t="s">
        <v>180</v>
      </c>
    </row>
    <row r="536" spans="1:12" x14ac:dyDescent="0.2">
      <c r="A536" s="69" t="s">
        <v>172</v>
      </c>
      <c r="B536" s="41" t="s">
        <v>156</v>
      </c>
      <c r="C536" s="67" t="s">
        <v>32</v>
      </c>
      <c r="D536" s="67">
        <v>60</v>
      </c>
      <c r="E536" s="68">
        <v>7</v>
      </c>
      <c r="F536" s="99">
        <v>0.87</v>
      </c>
      <c r="G536" s="99">
        <v>950</v>
      </c>
      <c r="H536" s="46">
        <f t="shared" si="19"/>
        <v>0.30240305000000001</v>
      </c>
      <c r="I536" s="69" t="s">
        <v>180</v>
      </c>
    </row>
    <row r="537" spans="1:12" x14ac:dyDescent="0.2">
      <c r="A537" s="69" t="s">
        <v>172</v>
      </c>
      <c r="B537" s="41" t="s">
        <v>156</v>
      </c>
      <c r="C537" s="67" t="s">
        <v>32</v>
      </c>
      <c r="D537" s="67">
        <v>60</v>
      </c>
      <c r="E537" s="68">
        <v>10</v>
      </c>
      <c r="F537" s="99">
        <v>0.98</v>
      </c>
      <c r="G537" s="99">
        <v>1010</v>
      </c>
      <c r="H537" s="46">
        <f t="shared" si="19"/>
        <v>0.32150219000000002</v>
      </c>
      <c r="I537" s="69" t="s">
        <v>180</v>
      </c>
    </row>
    <row r="538" spans="1:12" x14ac:dyDescent="0.2">
      <c r="A538" s="92" t="s">
        <v>210</v>
      </c>
      <c r="B538" s="93" t="s">
        <v>22</v>
      </c>
      <c r="C538" s="94" t="s">
        <v>32</v>
      </c>
      <c r="D538" s="94">
        <v>60</v>
      </c>
      <c r="E538" s="95">
        <v>0</v>
      </c>
      <c r="F538" s="96">
        <v>0</v>
      </c>
      <c r="G538" s="96">
        <v>98</v>
      </c>
      <c r="H538" s="97">
        <f t="shared" ref="H538:H601" si="20">G538/1000*0.318319</f>
        <v>3.1195262000000001E-2</v>
      </c>
      <c r="I538" s="92" t="s">
        <v>181</v>
      </c>
    </row>
    <row r="539" spans="1:12" x14ac:dyDescent="0.2">
      <c r="A539" s="92" t="s">
        <v>210</v>
      </c>
      <c r="B539" s="93" t="s">
        <v>21</v>
      </c>
      <c r="C539" s="94" t="s">
        <v>32</v>
      </c>
      <c r="D539" s="94">
        <v>60</v>
      </c>
      <c r="E539" s="95">
        <v>1</v>
      </c>
      <c r="F539" s="96">
        <v>0.16</v>
      </c>
      <c r="G539" s="96">
        <v>128</v>
      </c>
      <c r="H539" s="97">
        <f t="shared" si="20"/>
        <v>4.0744832000000002E-2</v>
      </c>
      <c r="I539" s="92" t="s">
        <v>181</v>
      </c>
    </row>
    <row r="540" spans="1:12" x14ac:dyDescent="0.2">
      <c r="A540" s="92" t="s">
        <v>210</v>
      </c>
      <c r="B540" s="93" t="s">
        <v>21</v>
      </c>
      <c r="C540" s="94" t="s">
        <v>32</v>
      </c>
      <c r="D540" s="94">
        <v>60</v>
      </c>
      <c r="E540" s="95">
        <v>2</v>
      </c>
      <c r="F540" s="96">
        <v>0.31</v>
      </c>
      <c r="G540" s="96">
        <v>197</v>
      </c>
      <c r="H540" s="97">
        <f t="shared" si="20"/>
        <v>6.2708843E-2</v>
      </c>
      <c r="I540" s="92" t="s">
        <v>181</v>
      </c>
    </row>
    <row r="541" spans="1:12" x14ac:dyDescent="0.2">
      <c r="A541" s="92" t="s">
        <v>210</v>
      </c>
      <c r="B541" s="93" t="s">
        <v>21</v>
      </c>
      <c r="C541" s="94" t="s">
        <v>32</v>
      </c>
      <c r="D541" s="94">
        <v>60</v>
      </c>
      <c r="E541" s="95">
        <v>3</v>
      </c>
      <c r="F541" s="96">
        <v>0.46</v>
      </c>
      <c r="G541" s="96">
        <v>327</v>
      </c>
      <c r="H541" s="97">
        <f t="shared" si="20"/>
        <v>0.104090313</v>
      </c>
      <c r="I541" s="92" t="s">
        <v>181</v>
      </c>
    </row>
    <row r="542" spans="1:12" x14ac:dyDescent="0.2">
      <c r="A542" s="92" t="s">
        <v>210</v>
      </c>
      <c r="B542" s="93" t="s">
        <v>21</v>
      </c>
      <c r="C542" s="94" t="s">
        <v>32</v>
      </c>
      <c r="D542" s="94">
        <v>60</v>
      </c>
      <c r="E542" s="95">
        <v>4</v>
      </c>
      <c r="F542" s="96">
        <v>0.6</v>
      </c>
      <c r="G542" s="96">
        <v>426</v>
      </c>
      <c r="H542" s="97">
        <f t="shared" si="20"/>
        <v>0.135603894</v>
      </c>
      <c r="I542" s="92" t="s">
        <v>181</v>
      </c>
      <c r="K542" s="102"/>
      <c r="L542" s="103"/>
    </row>
    <row r="543" spans="1:12" x14ac:dyDescent="0.2">
      <c r="A543" s="92" t="s">
        <v>210</v>
      </c>
      <c r="B543" s="93" t="s">
        <v>21</v>
      </c>
      <c r="C543" s="94" t="s">
        <v>32</v>
      </c>
      <c r="D543" s="94">
        <v>60</v>
      </c>
      <c r="E543" s="95">
        <v>5</v>
      </c>
      <c r="F543" s="96">
        <v>0.73</v>
      </c>
      <c r="G543" s="96">
        <v>538</v>
      </c>
      <c r="H543" s="97">
        <f t="shared" si="20"/>
        <v>0.17125562200000002</v>
      </c>
      <c r="I543" s="92" t="s">
        <v>181</v>
      </c>
      <c r="K543" s="102"/>
      <c r="L543" s="103"/>
    </row>
    <row r="544" spans="1:12" x14ac:dyDescent="0.2">
      <c r="A544" s="92" t="s">
        <v>210</v>
      </c>
      <c r="B544" s="93" t="s">
        <v>21</v>
      </c>
      <c r="C544" s="94" t="s">
        <v>32</v>
      </c>
      <c r="D544" s="94">
        <v>60</v>
      </c>
      <c r="E544" s="95">
        <v>7</v>
      </c>
      <c r="F544" s="96">
        <v>0.89</v>
      </c>
      <c r="G544" s="96">
        <v>679</v>
      </c>
      <c r="H544" s="97">
        <f t="shared" si="20"/>
        <v>0.21613860100000004</v>
      </c>
      <c r="I544" s="92" t="s">
        <v>181</v>
      </c>
      <c r="K544" s="102"/>
      <c r="L544" s="103"/>
    </row>
    <row r="545" spans="1:12" x14ac:dyDescent="0.2">
      <c r="A545" s="92" t="s">
        <v>210</v>
      </c>
      <c r="B545" s="93" t="s">
        <v>21</v>
      </c>
      <c r="C545" s="94" t="s">
        <v>32</v>
      </c>
      <c r="D545" s="94">
        <v>60</v>
      </c>
      <c r="E545" s="95">
        <v>10</v>
      </c>
      <c r="F545" s="96">
        <v>1</v>
      </c>
      <c r="G545" s="96">
        <v>809</v>
      </c>
      <c r="H545" s="97">
        <f t="shared" si="20"/>
        <v>0.25752007100000002</v>
      </c>
      <c r="I545" s="92" t="s">
        <v>181</v>
      </c>
      <c r="K545" s="102"/>
      <c r="L545" s="103"/>
    </row>
    <row r="546" spans="1:12" x14ac:dyDescent="0.2">
      <c r="A546" s="88" t="s">
        <v>209</v>
      </c>
      <c r="B546" s="13" t="s">
        <v>22</v>
      </c>
      <c r="C546" s="89" t="s">
        <v>32</v>
      </c>
      <c r="D546" s="89">
        <v>60</v>
      </c>
      <c r="E546" s="90">
        <v>0</v>
      </c>
      <c r="F546" s="12">
        <v>0</v>
      </c>
      <c r="G546" s="12">
        <v>76</v>
      </c>
      <c r="H546" s="16">
        <f t="shared" si="20"/>
        <v>2.4192244000000002E-2</v>
      </c>
      <c r="I546" s="88" t="s">
        <v>181</v>
      </c>
      <c r="K546" s="102"/>
      <c r="L546" s="103"/>
    </row>
    <row r="547" spans="1:12" x14ac:dyDescent="0.2">
      <c r="A547" s="88" t="s">
        <v>209</v>
      </c>
      <c r="B547" s="13" t="s">
        <v>21</v>
      </c>
      <c r="C547" s="89" t="s">
        <v>32</v>
      </c>
      <c r="D547" s="89">
        <v>60</v>
      </c>
      <c r="E547" s="90">
        <v>1</v>
      </c>
      <c r="F547" s="12">
        <v>0.16</v>
      </c>
      <c r="G547" s="12">
        <v>107</v>
      </c>
      <c r="H547" s="16">
        <f t="shared" si="20"/>
        <v>3.4060132999999999E-2</v>
      </c>
      <c r="I547" s="88" t="s">
        <v>181</v>
      </c>
      <c r="K547" s="102"/>
      <c r="L547" s="103"/>
    </row>
    <row r="548" spans="1:12" x14ac:dyDescent="0.2">
      <c r="A548" s="88" t="s">
        <v>209</v>
      </c>
      <c r="B548" s="13" t="s">
        <v>21</v>
      </c>
      <c r="C548" s="89" t="s">
        <v>32</v>
      </c>
      <c r="D548" s="89">
        <v>60</v>
      </c>
      <c r="E548" s="90">
        <v>2</v>
      </c>
      <c r="F548" s="12">
        <v>0.31</v>
      </c>
      <c r="G548" s="12">
        <v>206</v>
      </c>
      <c r="H548" s="16">
        <f t="shared" si="20"/>
        <v>6.5573714000000005E-2</v>
      </c>
      <c r="I548" s="88" t="s">
        <v>181</v>
      </c>
      <c r="K548" s="102"/>
      <c r="L548" s="103"/>
    </row>
    <row r="549" spans="1:12" x14ac:dyDescent="0.2">
      <c r="A549" s="88" t="s">
        <v>209</v>
      </c>
      <c r="B549" s="13" t="s">
        <v>21</v>
      </c>
      <c r="C549" s="89" t="s">
        <v>32</v>
      </c>
      <c r="D549" s="89">
        <v>60</v>
      </c>
      <c r="E549" s="90">
        <v>3</v>
      </c>
      <c r="F549" s="12">
        <v>0.45</v>
      </c>
      <c r="G549" s="12">
        <v>305</v>
      </c>
      <c r="H549" s="16">
        <f t="shared" si="20"/>
        <v>9.7087295000000004E-2</v>
      </c>
      <c r="I549" s="88" t="s">
        <v>181</v>
      </c>
      <c r="K549" s="102"/>
      <c r="L549" s="103"/>
    </row>
    <row r="550" spans="1:12" x14ac:dyDescent="0.2">
      <c r="A550" s="88" t="s">
        <v>209</v>
      </c>
      <c r="B550" s="13" t="s">
        <v>21</v>
      </c>
      <c r="C550" s="89" t="s">
        <v>32</v>
      </c>
      <c r="D550" s="89">
        <v>60</v>
      </c>
      <c r="E550" s="90">
        <v>4</v>
      </c>
      <c r="F550" s="12">
        <v>0.59</v>
      </c>
      <c r="G550" s="12">
        <v>406</v>
      </c>
      <c r="H550" s="16">
        <f t="shared" si="20"/>
        <v>0.12923751400000003</v>
      </c>
      <c r="I550" s="88" t="s">
        <v>181</v>
      </c>
    </row>
    <row r="551" spans="1:12" x14ac:dyDescent="0.2">
      <c r="A551" s="88" t="s">
        <v>209</v>
      </c>
      <c r="B551" s="13" t="s">
        <v>21</v>
      </c>
      <c r="C551" s="89" t="s">
        <v>32</v>
      </c>
      <c r="D551" s="89">
        <v>60</v>
      </c>
      <c r="E551" s="90">
        <v>5</v>
      </c>
      <c r="F551" s="12">
        <v>0.72</v>
      </c>
      <c r="G551" s="12">
        <v>517</v>
      </c>
      <c r="H551" s="16">
        <f t="shared" si="20"/>
        <v>0.16457092300000001</v>
      </c>
      <c r="I551" s="88" t="s">
        <v>181</v>
      </c>
    </row>
    <row r="552" spans="1:12" x14ac:dyDescent="0.2">
      <c r="A552" s="88" t="s">
        <v>209</v>
      </c>
      <c r="B552" s="13" t="s">
        <v>21</v>
      </c>
      <c r="C552" s="89" t="s">
        <v>32</v>
      </c>
      <c r="D552" s="89">
        <v>60</v>
      </c>
      <c r="E552" s="90">
        <v>7</v>
      </c>
      <c r="F552" s="12">
        <v>0.89</v>
      </c>
      <c r="G552" s="12">
        <v>657</v>
      </c>
      <c r="H552" s="16">
        <f t="shared" si="20"/>
        <v>0.20913558300000001</v>
      </c>
      <c r="I552" s="88" t="s">
        <v>181</v>
      </c>
    </row>
    <row r="553" spans="1:12" x14ac:dyDescent="0.2">
      <c r="A553" s="88" t="s">
        <v>209</v>
      </c>
      <c r="B553" s="13" t="s">
        <v>21</v>
      </c>
      <c r="C553" s="89" t="s">
        <v>32</v>
      </c>
      <c r="D553" s="89">
        <v>60</v>
      </c>
      <c r="E553" s="90">
        <v>10</v>
      </c>
      <c r="F553" s="12">
        <v>1</v>
      </c>
      <c r="G553" s="12">
        <v>810</v>
      </c>
      <c r="H553" s="16">
        <f t="shared" si="20"/>
        <v>0.25783839000000003</v>
      </c>
      <c r="I553" s="88" t="s">
        <v>181</v>
      </c>
    </row>
    <row r="554" spans="1:12" x14ac:dyDescent="0.2">
      <c r="A554" s="84" t="s">
        <v>210</v>
      </c>
      <c r="B554" s="32" t="s">
        <v>22</v>
      </c>
      <c r="C554" s="82" t="s">
        <v>7</v>
      </c>
      <c r="D554" s="82">
        <v>60</v>
      </c>
      <c r="E554" s="83">
        <v>0</v>
      </c>
      <c r="F554" s="31">
        <v>0</v>
      </c>
      <c r="G554" s="31">
        <v>155</v>
      </c>
      <c r="H554" s="35">
        <f t="shared" si="20"/>
        <v>4.9339445000000003E-2</v>
      </c>
      <c r="I554" s="84" t="s">
        <v>181</v>
      </c>
    </row>
    <row r="555" spans="1:12" x14ac:dyDescent="0.2">
      <c r="A555" s="84" t="s">
        <v>210</v>
      </c>
      <c r="B555" s="32" t="s">
        <v>21</v>
      </c>
      <c r="C555" s="82" t="s">
        <v>7</v>
      </c>
      <c r="D555" s="82">
        <v>60</v>
      </c>
      <c r="E555" s="83">
        <v>1</v>
      </c>
      <c r="F555" s="31">
        <v>0.16</v>
      </c>
      <c r="G555" s="31">
        <v>231</v>
      </c>
      <c r="H555" s="35">
        <f t="shared" si="20"/>
        <v>7.3531689000000011E-2</v>
      </c>
      <c r="I555" s="84" t="s">
        <v>181</v>
      </c>
    </row>
    <row r="556" spans="1:12" x14ac:dyDescent="0.2">
      <c r="A556" s="84" t="s">
        <v>210</v>
      </c>
      <c r="B556" s="32" t="s">
        <v>21</v>
      </c>
      <c r="C556" s="82" t="s">
        <v>7</v>
      </c>
      <c r="D556" s="82">
        <v>60</v>
      </c>
      <c r="E556" s="83">
        <v>2</v>
      </c>
      <c r="F556" s="31">
        <v>0.32</v>
      </c>
      <c r="G556" s="31">
        <v>392</v>
      </c>
      <c r="H556" s="35">
        <f t="shared" si="20"/>
        <v>0.12478104800000001</v>
      </c>
      <c r="I556" s="84" t="s">
        <v>181</v>
      </c>
    </row>
    <row r="557" spans="1:12" x14ac:dyDescent="0.2">
      <c r="A557" s="84" t="s">
        <v>210</v>
      </c>
      <c r="B557" s="32" t="s">
        <v>21</v>
      </c>
      <c r="C557" s="82" t="s">
        <v>7</v>
      </c>
      <c r="D557" s="82">
        <v>60</v>
      </c>
      <c r="E557" s="83">
        <v>3</v>
      </c>
      <c r="F557" s="31">
        <v>0.48</v>
      </c>
      <c r="G557" s="31">
        <v>557</v>
      </c>
      <c r="H557" s="35">
        <f t="shared" si="20"/>
        <v>0.17730368300000002</v>
      </c>
      <c r="I557" s="84" t="s">
        <v>181</v>
      </c>
      <c r="K557" s="104"/>
      <c r="L557" s="105"/>
    </row>
    <row r="558" spans="1:12" x14ac:dyDescent="0.2">
      <c r="A558" s="84" t="s">
        <v>210</v>
      </c>
      <c r="B558" s="32" t="s">
        <v>21</v>
      </c>
      <c r="C558" s="82" t="s">
        <v>7</v>
      </c>
      <c r="D558" s="82">
        <v>60</v>
      </c>
      <c r="E558" s="83">
        <v>4</v>
      </c>
      <c r="F558" s="31">
        <v>0.63</v>
      </c>
      <c r="G558" s="31">
        <v>698</v>
      </c>
      <c r="H558" s="35">
        <f t="shared" si="20"/>
        <v>0.22218666200000001</v>
      </c>
      <c r="I558" s="84" t="s">
        <v>181</v>
      </c>
      <c r="K558" s="104"/>
      <c r="L558" s="105"/>
    </row>
    <row r="559" spans="1:12" x14ac:dyDescent="0.2">
      <c r="A559" s="84" t="s">
        <v>210</v>
      </c>
      <c r="B559" s="32" t="s">
        <v>21</v>
      </c>
      <c r="C559" s="82" t="s">
        <v>7</v>
      </c>
      <c r="D559" s="82">
        <v>60</v>
      </c>
      <c r="E559" s="83">
        <v>5</v>
      </c>
      <c r="F559" s="31">
        <v>0.77</v>
      </c>
      <c r="G559" s="31">
        <v>818</v>
      </c>
      <c r="H559" s="35">
        <f t="shared" si="20"/>
        <v>0.26038494200000001</v>
      </c>
      <c r="I559" s="84" t="s">
        <v>181</v>
      </c>
      <c r="K559" s="104"/>
      <c r="L559" s="105"/>
    </row>
    <row r="560" spans="1:12" x14ac:dyDescent="0.2">
      <c r="A560" s="84" t="s">
        <v>210</v>
      </c>
      <c r="B560" s="32" t="s">
        <v>21</v>
      </c>
      <c r="C560" s="82" t="s">
        <v>7</v>
      </c>
      <c r="D560" s="82">
        <v>60</v>
      </c>
      <c r="E560" s="83">
        <v>7</v>
      </c>
      <c r="F560" s="31">
        <v>0.94</v>
      </c>
      <c r="G560" s="31">
        <v>978</v>
      </c>
      <c r="H560" s="35">
        <f t="shared" si="20"/>
        <v>0.31131598199999999</v>
      </c>
      <c r="I560" s="84" t="s">
        <v>181</v>
      </c>
      <c r="K560" s="104"/>
      <c r="L560" s="105"/>
    </row>
    <row r="561" spans="1:12" x14ac:dyDescent="0.2">
      <c r="A561" s="84" t="s">
        <v>210</v>
      </c>
      <c r="B561" s="32" t="s">
        <v>21</v>
      </c>
      <c r="C561" s="82" t="s">
        <v>7</v>
      </c>
      <c r="D561" s="82">
        <v>60</v>
      </c>
      <c r="E561" s="83">
        <v>10</v>
      </c>
      <c r="F561" s="31">
        <v>1.04</v>
      </c>
      <c r="G561" s="31">
        <v>1077</v>
      </c>
      <c r="H561" s="35">
        <f t="shared" si="20"/>
        <v>0.342829563</v>
      </c>
      <c r="I561" s="84" t="s">
        <v>181</v>
      </c>
      <c r="K561" s="104"/>
      <c r="L561" s="105"/>
    </row>
    <row r="562" spans="1:12" x14ac:dyDescent="0.2">
      <c r="A562" s="85" t="s">
        <v>209</v>
      </c>
      <c r="B562" s="19" t="s">
        <v>22</v>
      </c>
      <c r="C562" s="86" t="s">
        <v>7</v>
      </c>
      <c r="D562" s="86">
        <v>60</v>
      </c>
      <c r="E562" s="87">
        <v>0</v>
      </c>
      <c r="F562" s="18">
        <v>0</v>
      </c>
      <c r="G562" s="18">
        <v>207</v>
      </c>
      <c r="H562" s="22">
        <f t="shared" si="20"/>
        <v>6.5892033000000003E-2</v>
      </c>
      <c r="I562" s="85" t="s">
        <v>181</v>
      </c>
      <c r="K562" s="104"/>
      <c r="L562" s="105"/>
    </row>
    <row r="563" spans="1:12" x14ac:dyDescent="0.2">
      <c r="A563" s="85" t="s">
        <v>209</v>
      </c>
      <c r="B563" s="19" t="s">
        <v>21</v>
      </c>
      <c r="C563" s="86" t="s">
        <v>7</v>
      </c>
      <c r="D563" s="86">
        <v>60</v>
      </c>
      <c r="E563" s="87">
        <v>1</v>
      </c>
      <c r="F563" s="18">
        <v>0.17</v>
      </c>
      <c r="G563" s="18">
        <v>267</v>
      </c>
      <c r="H563" s="22">
        <f t="shared" si="20"/>
        <v>8.4991173000000003E-2</v>
      </c>
      <c r="I563" s="85" t="s">
        <v>181</v>
      </c>
      <c r="K563" s="104"/>
      <c r="L563" s="105"/>
    </row>
    <row r="564" spans="1:12" x14ac:dyDescent="0.2">
      <c r="A564" s="85" t="s">
        <v>209</v>
      </c>
      <c r="B564" s="19" t="s">
        <v>21</v>
      </c>
      <c r="C564" s="86" t="s">
        <v>7</v>
      </c>
      <c r="D564" s="86">
        <v>60</v>
      </c>
      <c r="E564" s="87">
        <v>2</v>
      </c>
      <c r="F564" s="18">
        <v>0.33</v>
      </c>
      <c r="G564" s="18">
        <v>397</v>
      </c>
      <c r="H564" s="22">
        <f t="shared" si="20"/>
        <v>0.12637264300000001</v>
      </c>
      <c r="I564" s="85" t="s">
        <v>181</v>
      </c>
      <c r="K564" s="104"/>
      <c r="L564" s="105"/>
    </row>
    <row r="565" spans="1:12" x14ac:dyDescent="0.2">
      <c r="A565" s="85" t="s">
        <v>209</v>
      </c>
      <c r="B565" s="19" t="s">
        <v>21</v>
      </c>
      <c r="C565" s="86" t="s">
        <v>7</v>
      </c>
      <c r="D565" s="86">
        <v>60</v>
      </c>
      <c r="E565" s="87">
        <v>3</v>
      </c>
      <c r="F565" s="18">
        <v>0.49</v>
      </c>
      <c r="G565" s="18">
        <v>550</v>
      </c>
      <c r="H565" s="22">
        <f t="shared" si="20"/>
        <v>0.17507545000000002</v>
      </c>
      <c r="I565" s="85" t="s">
        <v>181</v>
      </c>
    </row>
    <row r="566" spans="1:12" x14ac:dyDescent="0.2">
      <c r="A566" s="85" t="s">
        <v>209</v>
      </c>
      <c r="B566" s="19" t="s">
        <v>21</v>
      </c>
      <c r="C566" s="86" t="s">
        <v>7</v>
      </c>
      <c r="D566" s="86">
        <v>60</v>
      </c>
      <c r="E566" s="87">
        <v>4</v>
      </c>
      <c r="F566" s="18">
        <v>0.64</v>
      </c>
      <c r="G566" s="18">
        <v>680</v>
      </c>
      <c r="H566" s="22">
        <f t="shared" si="20"/>
        <v>0.21645692000000002</v>
      </c>
      <c r="I566" s="85" t="s">
        <v>181</v>
      </c>
    </row>
    <row r="567" spans="1:12" x14ac:dyDescent="0.2">
      <c r="A567" s="85" t="s">
        <v>209</v>
      </c>
      <c r="B567" s="19" t="s">
        <v>21</v>
      </c>
      <c r="C567" s="86" t="s">
        <v>7</v>
      </c>
      <c r="D567" s="86">
        <v>60</v>
      </c>
      <c r="E567" s="87">
        <v>5</v>
      </c>
      <c r="F567" s="18">
        <v>0.79</v>
      </c>
      <c r="G567" s="18">
        <v>790</v>
      </c>
      <c r="H567" s="22">
        <f t="shared" si="20"/>
        <v>0.25147201000000002</v>
      </c>
      <c r="I567" s="85" t="s">
        <v>181</v>
      </c>
    </row>
    <row r="568" spans="1:12" x14ac:dyDescent="0.2">
      <c r="A568" s="85" t="s">
        <v>209</v>
      </c>
      <c r="B568" s="19" t="s">
        <v>21</v>
      </c>
      <c r="C568" s="86" t="s">
        <v>7</v>
      </c>
      <c r="D568" s="86">
        <v>60</v>
      </c>
      <c r="E568" s="87">
        <v>7</v>
      </c>
      <c r="F568" s="18">
        <v>0.95</v>
      </c>
      <c r="G568" s="18">
        <v>932</v>
      </c>
      <c r="H568" s="22">
        <f t="shared" si="20"/>
        <v>0.29667330800000002</v>
      </c>
      <c r="I568" s="85" t="s">
        <v>181</v>
      </c>
    </row>
    <row r="569" spans="1:12" x14ac:dyDescent="0.2">
      <c r="A569" s="85" t="s">
        <v>209</v>
      </c>
      <c r="B569" s="19" t="s">
        <v>21</v>
      </c>
      <c r="C569" s="86" t="s">
        <v>7</v>
      </c>
      <c r="D569" s="86">
        <v>60</v>
      </c>
      <c r="E569" s="87">
        <v>10</v>
      </c>
      <c r="F569" s="18">
        <v>1.07</v>
      </c>
      <c r="G569" s="18">
        <v>1020</v>
      </c>
      <c r="H569" s="22">
        <f t="shared" si="20"/>
        <v>0.32468538000000002</v>
      </c>
      <c r="I569" s="85" t="s">
        <v>181</v>
      </c>
    </row>
    <row r="570" spans="1:12" x14ac:dyDescent="0.2">
      <c r="A570" s="58" t="s">
        <v>116</v>
      </c>
      <c r="B570" s="7" t="s">
        <v>114</v>
      </c>
      <c r="C570" s="56" t="s">
        <v>7</v>
      </c>
      <c r="D570" s="56">
        <v>60</v>
      </c>
      <c r="E570" s="57">
        <v>0</v>
      </c>
      <c r="F570" s="6">
        <v>0</v>
      </c>
      <c r="G570" s="6">
        <v>207</v>
      </c>
      <c r="H570" s="10">
        <f t="shared" si="20"/>
        <v>6.5892033000000003E-2</v>
      </c>
      <c r="I570" s="58" t="s">
        <v>182</v>
      </c>
    </row>
    <row r="571" spans="1:12" x14ac:dyDescent="0.2">
      <c r="A571" s="58" t="s">
        <v>116</v>
      </c>
      <c r="B571" s="7" t="s">
        <v>114</v>
      </c>
      <c r="C571" s="56" t="s">
        <v>7</v>
      </c>
      <c r="D571" s="56">
        <v>60</v>
      </c>
      <c r="E571" s="57">
        <v>1</v>
      </c>
      <c r="F571" s="6">
        <v>0.16</v>
      </c>
      <c r="G571" s="6">
        <v>396</v>
      </c>
      <c r="H571" s="10">
        <f t="shared" si="20"/>
        <v>0.12605432400000002</v>
      </c>
      <c r="I571" s="58" t="s">
        <v>182</v>
      </c>
    </row>
    <row r="572" spans="1:12" x14ac:dyDescent="0.2">
      <c r="A572" s="58" t="s">
        <v>115</v>
      </c>
      <c r="B572" s="7" t="s">
        <v>114</v>
      </c>
      <c r="C572" s="56" t="s">
        <v>18</v>
      </c>
      <c r="D572" s="56">
        <v>60</v>
      </c>
      <c r="E572" s="57">
        <v>2</v>
      </c>
      <c r="F572" s="6">
        <v>0.33</v>
      </c>
      <c r="G572" s="6">
        <v>626</v>
      </c>
      <c r="H572" s="10">
        <f t="shared" si="20"/>
        <v>0.19926769400000002</v>
      </c>
      <c r="I572" s="58" t="s">
        <v>182</v>
      </c>
    </row>
    <row r="573" spans="1:12" x14ac:dyDescent="0.2">
      <c r="A573" s="58" t="s">
        <v>115</v>
      </c>
      <c r="B573" s="7" t="s">
        <v>114</v>
      </c>
      <c r="C573" s="56" t="s">
        <v>18</v>
      </c>
      <c r="D573" s="56">
        <v>60</v>
      </c>
      <c r="E573" s="57">
        <v>3</v>
      </c>
      <c r="F573" s="6">
        <v>0.49</v>
      </c>
      <c r="G573" s="6">
        <v>919</v>
      </c>
      <c r="H573" s="10">
        <f t="shared" si="20"/>
        <v>0.29253516100000004</v>
      </c>
      <c r="I573" s="58" t="s">
        <v>182</v>
      </c>
    </row>
    <row r="574" spans="1:12" x14ac:dyDescent="0.2">
      <c r="A574" s="58" t="s">
        <v>115</v>
      </c>
      <c r="B574" s="7" t="s">
        <v>114</v>
      </c>
      <c r="C574" s="56" t="s">
        <v>18</v>
      </c>
      <c r="D574" s="56">
        <v>60</v>
      </c>
      <c r="E574" s="57">
        <v>4</v>
      </c>
      <c r="F574" s="6">
        <v>0.64</v>
      </c>
      <c r="G574" s="6">
        <v>1091</v>
      </c>
      <c r="H574" s="10">
        <f t="shared" si="20"/>
        <v>0.347286029</v>
      </c>
      <c r="I574" s="58" t="s">
        <v>182</v>
      </c>
    </row>
    <row r="575" spans="1:12" x14ac:dyDescent="0.2">
      <c r="A575" s="58" t="s">
        <v>115</v>
      </c>
      <c r="B575" s="7" t="s">
        <v>114</v>
      </c>
      <c r="C575" s="56" t="s">
        <v>18</v>
      </c>
      <c r="D575" s="56">
        <v>60</v>
      </c>
      <c r="E575" s="57">
        <v>5</v>
      </c>
      <c r="F575" s="6">
        <v>0.78</v>
      </c>
      <c r="G575" s="6">
        <v>1249</v>
      </c>
      <c r="H575" s="10">
        <f t="shared" si="20"/>
        <v>0.39758043100000007</v>
      </c>
      <c r="I575" s="58" t="s">
        <v>182</v>
      </c>
    </row>
    <row r="576" spans="1:12" x14ac:dyDescent="0.2">
      <c r="A576" s="58" t="s">
        <v>115</v>
      </c>
      <c r="B576" s="7" t="s">
        <v>114</v>
      </c>
      <c r="C576" s="56" t="s">
        <v>18</v>
      </c>
      <c r="D576" s="56">
        <v>60</v>
      </c>
      <c r="E576" s="57">
        <v>7</v>
      </c>
      <c r="F576" s="6">
        <v>0.95</v>
      </c>
      <c r="G576" s="6">
        <v>1609</v>
      </c>
      <c r="H576" s="10">
        <f t="shared" si="20"/>
        <v>0.51217527100000004</v>
      </c>
      <c r="I576" s="58" t="s">
        <v>182</v>
      </c>
    </row>
    <row r="577" spans="1:9" x14ac:dyDescent="0.2">
      <c r="A577" s="58" t="s">
        <v>115</v>
      </c>
      <c r="B577" s="7" t="s">
        <v>114</v>
      </c>
      <c r="C577" s="56" t="s">
        <v>18</v>
      </c>
      <c r="D577" s="56">
        <v>60</v>
      </c>
      <c r="E577" s="57">
        <v>10</v>
      </c>
      <c r="F577" s="6">
        <v>1.05</v>
      </c>
      <c r="G577" s="6">
        <v>1791</v>
      </c>
      <c r="H577" s="10">
        <f t="shared" si="20"/>
        <v>0.570109329</v>
      </c>
      <c r="I577" s="58" t="s">
        <v>182</v>
      </c>
    </row>
    <row r="578" spans="1:9" x14ac:dyDescent="0.2">
      <c r="A578" s="88" t="s">
        <v>66</v>
      </c>
      <c r="B578" s="13" t="s">
        <v>52</v>
      </c>
      <c r="C578" s="89" t="s">
        <v>32</v>
      </c>
      <c r="D578" s="89">
        <v>60</v>
      </c>
      <c r="E578" s="90">
        <v>0</v>
      </c>
      <c r="F578" s="12">
        <v>0</v>
      </c>
      <c r="G578" s="12">
        <v>26</v>
      </c>
      <c r="H578" s="16">
        <f t="shared" si="20"/>
        <v>8.276294E-3</v>
      </c>
      <c r="I578" s="88" t="s">
        <v>183</v>
      </c>
    </row>
    <row r="579" spans="1:9" x14ac:dyDescent="0.2">
      <c r="A579" s="88" t="s">
        <v>66</v>
      </c>
      <c r="B579" s="13" t="s">
        <v>52</v>
      </c>
      <c r="C579" s="89" t="s">
        <v>32</v>
      </c>
      <c r="D579" s="89">
        <v>60</v>
      </c>
      <c r="E579" s="90">
        <v>1</v>
      </c>
      <c r="F579" s="12">
        <v>0.16</v>
      </c>
      <c r="G579" s="12">
        <v>76</v>
      </c>
      <c r="H579" s="16">
        <f t="shared" si="20"/>
        <v>2.4192244000000002E-2</v>
      </c>
      <c r="I579" s="88" t="s">
        <v>183</v>
      </c>
    </row>
    <row r="580" spans="1:9" x14ac:dyDescent="0.2">
      <c r="A580" s="88" t="s">
        <v>184</v>
      </c>
      <c r="B580" s="13" t="s">
        <v>52</v>
      </c>
      <c r="C580" s="89" t="s">
        <v>32</v>
      </c>
      <c r="D580" s="89">
        <v>60</v>
      </c>
      <c r="E580" s="90">
        <v>2</v>
      </c>
      <c r="F580" s="12">
        <v>0.31</v>
      </c>
      <c r="G580" s="12">
        <v>137</v>
      </c>
      <c r="H580" s="16">
        <f t="shared" si="20"/>
        <v>4.3609703000000007E-2</v>
      </c>
      <c r="I580" s="88" t="s">
        <v>185</v>
      </c>
    </row>
    <row r="581" spans="1:9" x14ac:dyDescent="0.2">
      <c r="A581" s="88" t="s">
        <v>184</v>
      </c>
      <c r="B581" s="13" t="s">
        <v>52</v>
      </c>
      <c r="C581" s="89" t="s">
        <v>32</v>
      </c>
      <c r="D581" s="89">
        <v>60</v>
      </c>
      <c r="E581" s="90">
        <v>3</v>
      </c>
      <c r="F581" s="12">
        <v>0.46</v>
      </c>
      <c r="G581" s="12">
        <v>258</v>
      </c>
      <c r="H581" s="16">
        <f t="shared" si="20"/>
        <v>8.2126302000000012E-2</v>
      </c>
      <c r="I581" s="88" t="s">
        <v>185</v>
      </c>
    </row>
    <row r="582" spans="1:9" x14ac:dyDescent="0.2">
      <c r="A582" s="88" t="s">
        <v>184</v>
      </c>
      <c r="B582" s="13" t="s">
        <v>52</v>
      </c>
      <c r="C582" s="89" t="s">
        <v>32</v>
      </c>
      <c r="D582" s="89">
        <v>60</v>
      </c>
      <c r="E582" s="90">
        <v>4</v>
      </c>
      <c r="F582" s="12">
        <v>0.59</v>
      </c>
      <c r="G582" s="12">
        <v>386</v>
      </c>
      <c r="H582" s="16">
        <f t="shared" si="20"/>
        <v>0.12287113400000001</v>
      </c>
      <c r="I582" s="88" t="s">
        <v>185</v>
      </c>
    </row>
    <row r="583" spans="1:9" x14ac:dyDescent="0.2">
      <c r="A583" s="88" t="s">
        <v>184</v>
      </c>
      <c r="B583" s="13" t="s">
        <v>52</v>
      </c>
      <c r="C583" s="89" t="s">
        <v>32</v>
      </c>
      <c r="D583" s="89">
        <v>60</v>
      </c>
      <c r="E583" s="90">
        <v>5</v>
      </c>
      <c r="F583" s="12">
        <v>0.72</v>
      </c>
      <c r="G583" s="12">
        <v>527</v>
      </c>
      <c r="H583" s="16">
        <f t="shared" si="20"/>
        <v>0.16775411300000001</v>
      </c>
      <c r="I583" s="88" t="s">
        <v>185</v>
      </c>
    </row>
    <row r="584" spans="1:9" x14ac:dyDescent="0.2">
      <c r="A584" s="88" t="s">
        <v>184</v>
      </c>
      <c r="B584" s="13" t="s">
        <v>52</v>
      </c>
      <c r="C584" s="89" t="s">
        <v>32</v>
      </c>
      <c r="D584" s="89">
        <v>60</v>
      </c>
      <c r="E584" s="90">
        <v>7</v>
      </c>
      <c r="F584" s="12">
        <v>0.89</v>
      </c>
      <c r="G584" s="12">
        <v>768</v>
      </c>
      <c r="H584" s="16">
        <f t="shared" si="20"/>
        <v>0.24446899200000002</v>
      </c>
      <c r="I584" s="88" t="s">
        <v>185</v>
      </c>
    </row>
    <row r="585" spans="1:9" x14ac:dyDescent="0.2">
      <c r="A585" s="88" t="s">
        <v>184</v>
      </c>
      <c r="B585" s="13" t="s">
        <v>52</v>
      </c>
      <c r="C585" s="89" t="s">
        <v>32</v>
      </c>
      <c r="D585" s="89">
        <v>60</v>
      </c>
      <c r="E585" s="90">
        <v>10</v>
      </c>
      <c r="F585" s="12">
        <v>1</v>
      </c>
      <c r="G585" s="12">
        <v>938</v>
      </c>
      <c r="H585" s="16">
        <f t="shared" si="20"/>
        <v>0.29858322199999998</v>
      </c>
      <c r="I585" s="88" t="s">
        <v>185</v>
      </c>
    </row>
    <row r="586" spans="1:9" x14ac:dyDescent="0.2">
      <c r="A586" s="92" t="s">
        <v>81</v>
      </c>
      <c r="B586" s="93" t="s">
        <v>80</v>
      </c>
      <c r="C586" s="94" t="s">
        <v>32</v>
      </c>
      <c r="D586" s="94">
        <v>60</v>
      </c>
      <c r="E586" s="95">
        <v>0</v>
      </c>
      <c r="F586" s="96">
        <v>0</v>
      </c>
      <c r="G586" s="96">
        <v>38</v>
      </c>
      <c r="H586" s="97">
        <f t="shared" si="20"/>
        <v>1.2096122000000001E-2</v>
      </c>
      <c r="I586" s="92" t="s">
        <v>185</v>
      </c>
    </row>
    <row r="587" spans="1:9" x14ac:dyDescent="0.2">
      <c r="A587" s="92" t="s">
        <v>81</v>
      </c>
      <c r="B587" s="93" t="s">
        <v>80</v>
      </c>
      <c r="C587" s="94" t="s">
        <v>32</v>
      </c>
      <c r="D587" s="94">
        <v>60</v>
      </c>
      <c r="E587" s="95">
        <v>1</v>
      </c>
      <c r="F587" s="96">
        <v>0.16</v>
      </c>
      <c r="G587" s="96">
        <v>58</v>
      </c>
      <c r="H587" s="97">
        <f t="shared" si="20"/>
        <v>1.8462502000000002E-2</v>
      </c>
      <c r="I587" s="92" t="s">
        <v>185</v>
      </c>
    </row>
    <row r="588" spans="1:9" x14ac:dyDescent="0.2">
      <c r="A588" s="92" t="s">
        <v>186</v>
      </c>
      <c r="B588" s="93" t="s">
        <v>80</v>
      </c>
      <c r="C588" s="94" t="s">
        <v>32</v>
      </c>
      <c r="D588" s="94">
        <v>60</v>
      </c>
      <c r="E588" s="95">
        <v>2</v>
      </c>
      <c r="F588" s="96">
        <v>0.3</v>
      </c>
      <c r="G588" s="96">
        <v>227</v>
      </c>
      <c r="H588" s="97">
        <f t="shared" si="20"/>
        <v>7.2258413000000007E-2</v>
      </c>
      <c r="I588" s="92" t="s">
        <v>185</v>
      </c>
    </row>
    <row r="589" spans="1:9" x14ac:dyDescent="0.2">
      <c r="A589" s="92" t="s">
        <v>186</v>
      </c>
      <c r="B589" s="93" t="s">
        <v>80</v>
      </c>
      <c r="C589" s="94" t="s">
        <v>32</v>
      </c>
      <c r="D589" s="94">
        <v>60</v>
      </c>
      <c r="E589" s="95">
        <v>3</v>
      </c>
      <c r="F589" s="96">
        <v>0.45</v>
      </c>
      <c r="G589" s="96">
        <v>369</v>
      </c>
      <c r="H589" s="97">
        <f t="shared" si="20"/>
        <v>0.11745971100000001</v>
      </c>
      <c r="I589" s="92" t="s">
        <v>185</v>
      </c>
    </row>
    <row r="590" spans="1:9" x14ac:dyDescent="0.2">
      <c r="A590" s="92" t="s">
        <v>186</v>
      </c>
      <c r="B590" s="93" t="s">
        <v>80</v>
      </c>
      <c r="C590" s="94" t="s">
        <v>32</v>
      </c>
      <c r="D590" s="94">
        <v>60</v>
      </c>
      <c r="E590" s="95">
        <v>4</v>
      </c>
      <c r="F590" s="96">
        <v>0.59</v>
      </c>
      <c r="G590" s="96">
        <v>516</v>
      </c>
      <c r="H590" s="97">
        <f t="shared" si="20"/>
        <v>0.16425260400000002</v>
      </c>
      <c r="I590" s="92" t="s">
        <v>185</v>
      </c>
    </row>
    <row r="591" spans="1:9" x14ac:dyDescent="0.2">
      <c r="A591" s="92" t="s">
        <v>186</v>
      </c>
      <c r="B591" s="93" t="s">
        <v>80</v>
      </c>
      <c r="C591" s="94" t="s">
        <v>32</v>
      </c>
      <c r="D591" s="94">
        <v>60</v>
      </c>
      <c r="E591" s="95">
        <v>5</v>
      </c>
      <c r="F591" s="96">
        <v>0.72</v>
      </c>
      <c r="G591" s="96">
        <v>637</v>
      </c>
      <c r="H591" s="97">
        <f t="shared" si="20"/>
        <v>0.20276920300000001</v>
      </c>
      <c r="I591" s="92" t="s">
        <v>185</v>
      </c>
    </row>
    <row r="592" spans="1:9" x14ac:dyDescent="0.2">
      <c r="A592" s="92" t="s">
        <v>186</v>
      </c>
      <c r="B592" s="93" t="s">
        <v>80</v>
      </c>
      <c r="C592" s="94" t="s">
        <v>32</v>
      </c>
      <c r="D592" s="94">
        <v>60</v>
      </c>
      <c r="E592" s="95">
        <v>7</v>
      </c>
      <c r="F592" s="96">
        <v>0.89</v>
      </c>
      <c r="G592" s="96">
        <v>798</v>
      </c>
      <c r="H592" s="97">
        <f t="shared" si="20"/>
        <v>0.254018562</v>
      </c>
      <c r="I592" s="92" t="s">
        <v>185</v>
      </c>
    </row>
    <row r="593" spans="1:9" x14ac:dyDescent="0.2">
      <c r="A593" s="92" t="s">
        <v>186</v>
      </c>
      <c r="B593" s="93" t="s">
        <v>80</v>
      </c>
      <c r="C593" s="94" t="s">
        <v>32</v>
      </c>
      <c r="D593" s="94">
        <v>60</v>
      </c>
      <c r="E593" s="95">
        <v>10</v>
      </c>
      <c r="F593" s="96">
        <v>1</v>
      </c>
      <c r="G593" s="96">
        <v>898</v>
      </c>
      <c r="H593" s="97">
        <f t="shared" si="20"/>
        <v>0.28585046200000003</v>
      </c>
      <c r="I593" s="92" t="s">
        <v>185</v>
      </c>
    </row>
    <row r="594" spans="1:9" x14ac:dyDescent="0.2">
      <c r="A594" s="73" t="s">
        <v>78</v>
      </c>
      <c r="B594" s="49" t="s">
        <v>77</v>
      </c>
      <c r="C594" s="70" t="s">
        <v>32</v>
      </c>
      <c r="D594" s="70">
        <v>60</v>
      </c>
      <c r="E594" s="71">
        <v>0</v>
      </c>
      <c r="F594" s="98">
        <v>0</v>
      </c>
      <c r="G594" s="98">
        <v>58</v>
      </c>
      <c r="H594" s="54">
        <f t="shared" si="20"/>
        <v>1.8462502000000002E-2</v>
      </c>
      <c r="I594" s="73" t="s">
        <v>185</v>
      </c>
    </row>
    <row r="595" spans="1:9" x14ac:dyDescent="0.2">
      <c r="A595" s="73" t="s">
        <v>78</v>
      </c>
      <c r="B595" s="49" t="s">
        <v>77</v>
      </c>
      <c r="C595" s="70" t="s">
        <v>32</v>
      </c>
      <c r="D595" s="70">
        <v>60</v>
      </c>
      <c r="E595" s="71">
        <v>1</v>
      </c>
      <c r="F595" s="98">
        <v>0.16</v>
      </c>
      <c r="G595" s="98">
        <v>78</v>
      </c>
      <c r="H595" s="54">
        <f t="shared" si="20"/>
        <v>2.4828882E-2</v>
      </c>
      <c r="I595" s="73" t="s">
        <v>185</v>
      </c>
    </row>
    <row r="596" spans="1:9" x14ac:dyDescent="0.2">
      <c r="A596" s="73" t="s">
        <v>73</v>
      </c>
      <c r="B596" s="49" t="s">
        <v>77</v>
      </c>
      <c r="C596" s="70" t="s">
        <v>32</v>
      </c>
      <c r="D596" s="70">
        <v>60</v>
      </c>
      <c r="E596" s="71">
        <v>2</v>
      </c>
      <c r="F596" s="98">
        <v>0.31</v>
      </c>
      <c r="G596" s="98">
        <v>148</v>
      </c>
      <c r="H596" s="54">
        <f t="shared" si="20"/>
        <v>4.7111212E-2</v>
      </c>
      <c r="I596" s="73" t="s">
        <v>185</v>
      </c>
    </row>
    <row r="597" spans="1:9" x14ac:dyDescent="0.2">
      <c r="A597" s="73" t="s">
        <v>73</v>
      </c>
      <c r="B597" s="49" t="s">
        <v>77</v>
      </c>
      <c r="C597" s="70" t="s">
        <v>32</v>
      </c>
      <c r="D597" s="70">
        <v>60</v>
      </c>
      <c r="E597" s="71">
        <v>3</v>
      </c>
      <c r="F597" s="98">
        <v>0.46</v>
      </c>
      <c r="G597" s="98">
        <v>278</v>
      </c>
      <c r="H597" s="54">
        <f t="shared" si="20"/>
        <v>8.8492682000000017E-2</v>
      </c>
      <c r="I597" s="73" t="s">
        <v>185</v>
      </c>
    </row>
    <row r="598" spans="1:9" x14ac:dyDescent="0.2">
      <c r="A598" s="73" t="s">
        <v>73</v>
      </c>
      <c r="B598" s="49" t="s">
        <v>77</v>
      </c>
      <c r="C598" s="70" t="s">
        <v>32</v>
      </c>
      <c r="D598" s="70">
        <v>60</v>
      </c>
      <c r="E598" s="71">
        <v>4</v>
      </c>
      <c r="F598" s="98">
        <v>0.6</v>
      </c>
      <c r="G598" s="98">
        <v>388</v>
      </c>
      <c r="H598" s="54">
        <f t="shared" si="20"/>
        <v>0.12350777200000002</v>
      </c>
      <c r="I598" s="73" t="s">
        <v>185</v>
      </c>
    </row>
    <row r="599" spans="1:9" x14ac:dyDescent="0.2">
      <c r="A599" s="73" t="s">
        <v>73</v>
      </c>
      <c r="B599" s="49" t="s">
        <v>77</v>
      </c>
      <c r="C599" s="70" t="s">
        <v>32</v>
      </c>
      <c r="D599" s="70">
        <v>60</v>
      </c>
      <c r="E599" s="71">
        <v>5</v>
      </c>
      <c r="F599" s="98">
        <v>0.72</v>
      </c>
      <c r="G599" s="98">
        <v>518</v>
      </c>
      <c r="H599" s="54">
        <f t="shared" si="20"/>
        <v>0.16488924200000002</v>
      </c>
      <c r="I599" s="73" t="s">
        <v>185</v>
      </c>
    </row>
    <row r="600" spans="1:9" x14ac:dyDescent="0.2">
      <c r="A600" s="73" t="s">
        <v>73</v>
      </c>
      <c r="B600" s="49" t="s">
        <v>77</v>
      </c>
      <c r="C600" s="70" t="s">
        <v>32</v>
      </c>
      <c r="D600" s="70">
        <v>60</v>
      </c>
      <c r="E600" s="71">
        <v>7</v>
      </c>
      <c r="F600" s="98">
        <v>0.89</v>
      </c>
      <c r="G600" s="98">
        <v>700</v>
      </c>
      <c r="H600" s="54">
        <f t="shared" si="20"/>
        <v>0.2228233</v>
      </c>
      <c r="I600" s="73" t="s">
        <v>185</v>
      </c>
    </row>
    <row r="601" spans="1:9" x14ac:dyDescent="0.2">
      <c r="A601" s="73" t="s">
        <v>73</v>
      </c>
      <c r="B601" s="49" t="s">
        <v>77</v>
      </c>
      <c r="C601" s="70" t="s">
        <v>32</v>
      </c>
      <c r="D601" s="70">
        <v>60</v>
      </c>
      <c r="E601" s="71">
        <v>10</v>
      </c>
      <c r="F601" s="98">
        <v>1</v>
      </c>
      <c r="G601" s="98">
        <v>940</v>
      </c>
      <c r="H601" s="54">
        <f t="shared" si="20"/>
        <v>0.29921986</v>
      </c>
      <c r="I601" s="73" t="s">
        <v>185</v>
      </c>
    </row>
    <row r="602" spans="1:9" x14ac:dyDescent="0.2">
      <c r="A602" s="106" t="s">
        <v>95</v>
      </c>
      <c r="B602" s="107" t="s">
        <v>187</v>
      </c>
      <c r="C602" s="108" t="s">
        <v>32</v>
      </c>
      <c r="D602" s="108">
        <v>60</v>
      </c>
      <c r="E602" s="109">
        <v>0</v>
      </c>
      <c r="F602" s="26">
        <v>0</v>
      </c>
      <c r="G602" s="26">
        <v>68</v>
      </c>
      <c r="H602" s="28">
        <f t="shared" ref="H602:H625" si="21">G602/1000*0.318319</f>
        <v>2.1645692000000001E-2</v>
      </c>
      <c r="I602" s="106" t="s">
        <v>185</v>
      </c>
    </row>
    <row r="603" spans="1:9" x14ac:dyDescent="0.2">
      <c r="A603" s="106" t="s">
        <v>95</v>
      </c>
      <c r="B603" s="107" t="s">
        <v>187</v>
      </c>
      <c r="C603" s="108" t="s">
        <v>32</v>
      </c>
      <c r="D603" s="108">
        <v>60</v>
      </c>
      <c r="E603" s="109">
        <v>1</v>
      </c>
      <c r="F603" s="26">
        <v>0.15</v>
      </c>
      <c r="G603" s="26">
        <v>96</v>
      </c>
      <c r="H603" s="28">
        <f t="shared" si="21"/>
        <v>3.0558624000000003E-2</v>
      </c>
      <c r="I603" s="106" t="s">
        <v>185</v>
      </c>
    </row>
    <row r="604" spans="1:9" x14ac:dyDescent="0.2">
      <c r="A604" s="106" t="s">
        <v>188</v>
      </c>
      <c r="B604" s="107" t="s">
        <v>187</v>
      </c>
      <c r="C604" s="108" t="s">
        <v>32</v>
      </c>
      <c r="D604" s="108">
        <v>60</v>
      </c>
      <c r="E604" s="109">
        <v>2</v>
      </c>
      <c r="F604" s="26">
        <v>0.3</v>
      </c>
      <c r="G604" s="26">
        <v>156</v>
      </c>
      <c r="H604" s="28">
        <f t="shared" si="21"/>
        <v>4.9657764E-2</v>
      </c>
      <c r="I604" s="106" t="s">
        <v>185</v>
      </c>
    </row>
    <row r="605" spans="1:9" x14ac:dyDescent="0.2">
      <c r="A605" s="106" t="s">
        <v>188</v>
      </c>
      <c r="B605" s="107" t="s">
        <v>187</v>
      </c>
      <c r="C605" s="108" t="s">
        <v>32</v>
      </c>
      <c r="D605" s="108">
        <v>60</v>
      </c>
      <c r="E605" s="109">
        <v>3</v>
      </c>
      <c r="F605" s="26">
        <v>0.44</v>
      </c>
      <c r="G605" s="26">
        <v>237</v>
      </c>
      <c r="H605" s="28">
        <f t="shared" si="21"/>
        <v>7.5441602999999996E-2</v>
      </c>
      <c r="I605" s="106" t="s">
        <v>185</v>
      </c>
    </row>
    <row r="606" spans="1:9" x14ac:dyDescent="0.2">
      <c r="A606" s="106" t="s">
        <v>188</v>
      </c>
      <c r="B606" s="107" t="s">
        <v>187</v>
      </c>
      <c r="C606" s="108" t="s">
        <v>32</v>
      </c>
      <c r="D606" s="108">
        <v>60</v>
      </c>
      <c r="E606" s="109">
        <v>4</v>
      </c>
      <c r="F606" s="26">
        <v>0.57999999999999996</v>
      </c>
      <c r="G606" s="26">
        <v>337</v>
      </c>
      <c r="H606" s="28">
        <f t="shared" si="21"/>
        <v>0.10727350300000002</v>
      </c>
      <c r="I606" s="106" t="s">
        <v>185</v>
      </c>
    </row>
    <row r="607" spans="1:9" x14ac:dyDescent="0.2">
      <c r="A607" s="106" t="s">
        <v>188</v>
      </c>
      <c r="B607" s="107" t="s">
        <v>187</v>
      </c>
      <c r="C607" s="108" t="s">
        <v>32</v>
      </c>
      <c r="D607" s="108">
        <v>60</v>
      </c>
      <c r="E607" s="109">
        <v>5</v>
      </c>
      <c r="F607" s="26">
        <v>0.71</v>
      </c>
      <c r="G607" s="26">
        <v>468</v>
      </c>
      <c r="H607" s="28">
        <f t="shared" si="21"/>
        <v>0.14897329200000001</v>
      </c>
      <c r="I607" s="106" t="s">
        <v>185</v>
      </c>
    </row>
    <row r="608" spans="1:9" x14ac:dyDescent="0.2">
      <c r="A608" s="106" t="s">
        <v>188</v>
      </c>
      <c r="B608" s="107" t="s">
        <v>187</v>
      </c>
      <c r="C608" s="108" t="s">
        <v>32</v>
      </c>
      <c r="D608" s="108">
        <v>60</v>
      </c>
      <c r="E608" s="109">
        <v>7</v>
      </c>
      <c r="F608" s="26">
        <v>0.88</v>
      </c>
      <c r="G608" s="26">
        <v>618</v>
      </c>
      <c r="H608" s="28">
        <f t="shared" si="21"/>
        <v>0.19672114200000002</v>
      </c>
      <c r="I608" s="106" t="s">
        <v>185</v>
      </c>
    </row>
    <row r="609" spans="1:9" x14ac:dyDescent="0.2">
      <c r="A609" s="106" t="s">
        <v>188</v>
      </c>
      <c r="B609" s="107" t="s">
        <v>187</v>
      </c>
      <c r="C609" s="108" t="s">
        <v>32</v>
      </c>
      <c r="D609" s="108">
        <v>60</v>
      </c>
      <c r="E609" s="109">
        <v>10</v>
      </c>
      <c r="F609" s="26">
        <v>0.99</v>
      </c>
      <c r="G609" s="26">
        <v>770</v>
      </c>
      <c r="H609" s="28">
        <f t="shared" si="21"/>
        <v>0.24510563000000002</v>
      </c>
      <c r="I609" s="106" t="s">
        <v>185</v>
      </c>
    </row>
    <row r="610" spans="1:9" x14ac:dyDescent="0.2">
      <c r="A610" s="58" t="s">
        <v>107</v>
      </c>
      <c r="B610" s="7" t="s">
        <v>106</v>
      </c>
      <c r="C610" s="56" t="s">
        <v>32</v>
      </c>
      <c r="D610" s="56">
        <v>60</v>
      </c>
      <c r="E610" s="57">
        <v>0</v>
      </c>
      <c r="F610" s="6">
        <v>0</v>
      </c>
      <c r="G610" s="6">
        <v>17</v>
      </c>
      <c r="H610" s="10">
        <f t="shared" si="21"/>
        <v>5.4114230000000003E-3</v>
      </c>
      <c r="I610" s="58" t="s">
        <v>185</v>
      </c>
    </row>
    <row r="611" spans="1:9" x14ac:dyDescent="0.2">
      <c r="A611" s="58" t="s">
        <v>107</v>
      </c>
      <c r="B611" s="7" t="s">
        <v>106</v>
      </c>
      <c r="C611" s="56" t="s">
        <v>32</v>
      </c>
      <c r="D611" s="56">
        <v>60</v>
      </c>
      <c r="E611" s="57">
        <v>1</v>
      </c>
      <c r="F611" s="6">
        <v>0.15</v>
      </c>
      <c r="G611" s="6">
        <v>37</v>
      </c>
      <c r="H611" s="10">
        <f t="shared" si="21"/>
        <v>1.1777803E-2</v>
      </c>
      <c r="I611" s="58" t="s">
        <v>185</v>
      </c>
    </row>
    <row r="612" spans="1:9" x14ac:dyDescent="0.2">
      <c r="A612" s="58" t="s">
        <v>99</v>
      </c>
      <c r="B612" s="7" t="s">
        <v>106</v>
      </c>
      <c r="C612" s="56" t="s">
        <v>32</v>
      </c>
      <c r="D612" s="56">
        <v>60</v>
      </c>
      <c r="E612" s="57">
        <v>2</v>
      </c>
      <c r="F612" s="6">
        <v>0.3</v>
      </c>
      <c r="G612" s="6">
        <v>108</v>
      </c>
      <c r="H612" s="10">
        <f t="shared" si="21"/>
        <v>3.4378452000000004E-2</v>
      </c>
      <c r="I612" s="58" t="s">
        <v>185</v>
      </c>
    </row>
    <row r="613" spans="1:9" x14ac:dyDescent="0.2">
      <c r="A613" s="58" t="s">
        <v>99</v>
      </c>
      <c r="B613" s="7" t="s">
        <v>106</v>
      </c>
      <c r="C613" s="56" t="s">
        <v>32</v>
      </c>
      <c r="D613" s="56">
        <v>60</v>
      </c>
      <c r="E613" s="57">
        <v>3</v>
      </c>
      <c r="F613" s="6">
        <v>0.45</v>
      </c>
      <c r="G613" s="6">
        <v>238</v>
      </c>
      <c r="H613" s="10">
        <f t="shared" si="21"/>
        <v>7.5759922000000007E-2</v>
      </c>
      <c r="I613" s="58" t="s">
        <v>185</v>
      </c>
    </row>
    <row r="614" spans="1:9" x14ac:dyDescent="0.2">
      <c r="A614" s="58" t="s">
        <v>99</v>
      </c>
      <c r="B614" s="7" t="s">
        <v>106</v>
      </c>
      <c r="C614" s="56" t="s">
        <v>32</v>
      </c>
      <c r="D614" s="56">
        <v>60</v>
      </c>
      <c r="E614" s="57">
        <v>4</v>
      </c>
      <c r="F614" s="6">
        <v>0.59</v>
      </c>
      <c r="G614" s="6">
        <v>349</v>
      </c>
      <c r="H614" s="10">
        <f t="shared" si="21"/>
        <v>0.111093331</v>
      </c>
      <c r="I614" s="58" t="s">
        <v>185</v>
      </c>
    </row>
    <row r="615" spans="1:9" x14ac:dyDescent="0.2">
      <c r="A615" s="58" t="s">
        <v>99</v>
      </c>
      <c r="B615" s="7" t="s">
        <v>106</v>
      </c>
      <c r="C615" s="56" t="s">
        <v>32</v>
      </c>
      <c r="D615" s="56">
        <v>60</v>
      </c>
      <c r="E615" s="57">
        <v>5</v>
      </c>
      <c r="F615" s="6">
        <v>0.72</v>
      </c>
      <c r="G615" s="6">
        <v>428</v>
      </c>
      <c r="H615" s="10">
        <f t="shared" si="21"/>
        <v>0.136240532</v>
      </c>
      <c r="I615" s="58" t="s">
        <v>185</v>
      </c>
    </row>
    <row r="616" spans="1:9" x14ac:dyDescent="0.2">
      <c r="A616" s="58" t="s">
        <v>99</v>
      </c>
      <c r="B616" s="7" t="s">
        <v>106</v>
      </c>
      <c r="C616" s="56" t="s">
        <v>32</v>
      </c>
      <c r="D616" s="56">
        <v>60</v>
      </c>
      <c r="E616" s="57">
        <v>7</v>
      </c>
      <c r="F616" s="6">
        <v>0.88</v>
      </c>
      <c r="G616" s="6">
        <v>579</v>
      </c>
      <c r="H616" s="10">
        <f t="shared" si="21"/>
        <v>0.18430670099999999</v>
      </c>
      <c r="I616" s="58" t="s">
        <v>185</v>
      </c>
    </row>
    <row r="617" spans="1:9" x14ac:dyDescent="0.2">
      <c r="A617" s="58" t="s">
        <v>99</v>
      </c>
      <c r="B617" s="7" t="s">
        <v>106</v>
      </c>
      <c r="C617" s="56" t="s">
        <v>32</v>
      </c>
      <c r="D617" s="56">
        <v>60</v>
      </c>
      <c r="E617" s="57">
        <v>10</v>
      </c>
      <c r="F617" s="6">
        <v>0.99</v>
      </c>
      <c r="G617" s="6">
        <v>780</v>
      </c>
      <c r="H617" s="10">
        <f t="shared" si="21"/>
        <v>0.24828882000000002</v>
      </c>
      <c r="I617" s="58" t="s">
        <v>185</v>
      </c>
    </row>
    <row r="618" spans="1:9" x14ac:dyDescent="0.2">
      <c r="A618" s="69" t="s">
        <v>189</v>
      </c>
      <c r="B618" s="41" t="s">
        <v>91</v>
      </c>
      <c r="C618" s="67" t="s">
        <v>32</v>
      </c>
      <c r="D618" s="67">
        <v>60</v>
      </c>
      <c r="E618" s="68">
        <v>0</v>
      </c>
      <c r="F618" s="99">
        <v>0</v>
      </c>
      <c r="G618" s="99">
        <v>-24</v>
      </c>
      <c r="H618" s="46">
        <f t="shared" si="21"/>
        <v>-7.6396560000000007E-3</v>
      </c>
      <c r="I618" s="69" t="s">
        <v>185</v>
      </c>
    </row>
    <row r="619" spans="1:9" x14ac:dyDescent="0.2">
      <c r="A619" s="69" t="s">
        <v>189</v>
      </c>
      <c r="B619" s="41" t="s">
        <v>91</v>
      </c>
      <c r="C619" s="67" t="s">
        <v>32</v>
      </c>
      <c r="D619" s="67">
        <v>60</v>
      </c>
      <c r="E619" s="68">
        <v>1</v>
      </c>
      <c r="F619" s="99">
        <v>0.15</v>
      </c>
      <c r="G619" s="99">
        <v>-3</v>
      </c>
      <c r="H619" s="46">
        <f t="shared" si="21"/>
        <v>-9.5495700000000009E-4</v>
      </c>
      <c r="I619" s="69" t="s">
        <v>185</v>
      </c>
    </row>
    <row r="620" spans="1:9" x14ac:dyDescent="0.2">
      <c r="A620" s="69" t="s">
        <v>83</v>
      </c>
      <c r="B620" s="41" t="s">
        <v>90</v>
      </c>
      <c r="C620" s="67" t="s">
        <v>32</v>
      </c>
      <c r="D620" s="67">
        <v>60</v>
      </c>
      <c r="E620" s="68">
        <v>2</v>
      </c>
      <c r="F620" s="99">
        <v>0.3</v>
      </c>
      <c r="G620" s="99">
        <v>96</v>
      </c>
      <c r="H620" s="46">
        <f t="shared" si="21"/>
        <v>3.0558624000000003E-2</v>
      </c>
      <c r="I620" s="69" t="s">
        <v>185</v>
      </c>
    </row>
    <row r="621" spans="1:9" x14ac:dyDescent="0.2">
      <c r="A621" s="69" t="s">
        <v>83</v>
      </c>
      <c r="B621" s="41" t="s">
        <v>90</v>
      </c>
      <c r="C621" s="67" t="s">
        <v>32</v>
      </c>
      <c r="D621" s="67">
        <v>60</v>
      </c>
      <c r="E621" s="68">
        <v>3</v>
      </c>
      <c r="F621" s="99">
        <v>0.44</v>
      </c>
      <c r="G621" s="99">
        <v>206</v>
      </c>
      <c r="H621" s="46">
        <f t="shared" si="21"/>
        <v>6.5573714000000005E-2</v>
      </c>
      <c r="I621" s="69" t="s">
        <v>185</v>
      </c>
    </row>
    <row r="622" spans="1:9" x14ac:dyDescent="0.2">
      <c r="A622" s="69" t="s">
        <v>83</v>
      </c>
      <c r="B622" s="41" t="s">
        <v>90</v>
      </c>
      <c r="C622" s="67" t="s">
        <v>32</v>
      </c>
      <c r="D622" s="67">
        <v>60</v>
      </c>
      <c r="E622" s="68">
        <v>4</v>
      </c>
      <c r="F622" s="99">
        <v>0.57999999999999996</v>
      </c>
      <c r="G622" s="99">
        <v>337</v>
      </c>
      <c r="H622" s="46">
        <f t="shared" si="21"/>
        <v>0.10727350300000002</v>
      </c>
      <c r="I622" s="69" t="s">
        <v>185</v>
      </c>
    </row>
    <row r="623" spans="1:9" x14ac:dyDescent="0.2">
      <c r="A623" s="69" t="s">
        <v>83</v>
      </c>
      <c r="B623" s="41" t="s">
        <v>90</v>
      </c>
      <c r="C623" s="67" t="s">
        <v>32</v>
      </c>
      <c r="D623" s="67">
        <v>60</v>
      </c>
      <c r="E623" s="68">
        <v>5</v>
      </c>
      <c r="F623" s="99">
        <v>0.71</v>
      </c>
      <c r="G623" s="99">
        <v>456</v>
      </c>
      <c r="H623" s="46">
        <f t="shared" si="21"/>
        <v>0.14515346400000001</v>
      </c>
      <c r="I623" s="69" t="s">
        <v>185</v>
      </c>
    </row>
    <row r="624" spans="1:9" x14ac:dyDescent="0.2">
      <c r="A624" s="69" t="s">
        <v>83</v>
      </c>
      <c r="B624" s="41" t="s">
        <v>90</v>
      </c>
      <c r="C624" s="67" t="s">
        <v>32</v>
      </c>
      <c r="D624" s="67">
        <v>60</v>
      </c>
      <c r="E624" s="68">
        <v>7</v>
      </c>
      <c r="F624" s="99">
        <v>0.87</v>
      </c>
      <c r="G624" s="99">
        <v>637</v>
      </c>
      <c r="H624" s="46">
        <f t="shared" si="21"/>
        <v>0.20276920300000001</v>
      </c>
      <c r="I624" s="69" t="s">
        <v>185</v>
      </c>
    </row>
    <row r="625" spans="1:9" x14ac:dyDescent="0.2">
      <c r="A625" s="69" t="s">
        <v>83</v>
      </c>
      <c r="B625" s="41" t="s">
        <v>90</v>
      </c>
      <c r="C625" s="67" t="s">
        <v>32</v>
      </c>
      <c r="D625" s="67">
        <v>60</v>
      </c>
      <c r="E625" s="68">
        <v>10</v>
      </c>
      <c r="F625" s="99">
        <v>0.98</v>
      </c>
      <c r="G625" s="99">
        <v>788</v>
      </c>
      <c r="H625" s="46">
        <f t="shared" si="21"/>
        <v>0.250835372</v>
      </c>
      <c r="I625" s="69" t="s">
        <v>185</v>
      </c>
    </row>
    <row r="626" spans="1:9" x14ac:dyDescent="0.2">
      <c r="A626" s="84" t="s">
        <v>211</v>
      </c>
      <c r="B626" s="32" t="s">
        <v>21</v>
      </c>
      <c r="C626" s="82" t="s">
        <v>32</v>
      </c>
      <c r="D626" s="82">
        <v>60</v>
      </c>
      <c r="E626" s="83">
        <v>0</v>
      </c>
      <c r="F626" s="31">
        <v>0</v>
      </c>
      <c r="G626" s="31">
        <v>20</v>
      </c>
      <c r="H626" s="35">
        <f t="shared" ref="H626:H689" si="22">G626/1000*0.318319</f>
        <v>6.3663800000000005E-3</v>
      </c>
      <c r="I626" s="84" t="s">
        <v>185</v>
      </c>
    </row>
    <row r="627" spans="1:9" x14ac:dyDescent="0.2">
      <c r="A627" s="84" t="s">
        <v>211</v>
      </c>
      <c r="B627" s="32" t="s">
        <v>21</v>
      </c>
      <c r="C627" s="82" t="s">
        <v>32</v>
      </c>
      <c r="D627" s="82">
        <v>60</v>
      </c>
      <c r="E627" s="83">
        <v>1</v>
      </c>
      <c r="F627" s="31">
        <v>0.15</v>
      </c>
      <c r="G627" s="31">
        <v>18</v>
      </c>
      <c r="H627" s="35">
        <f t="shared" si="22"/>
        <v>5.7297419999999995E-3</v>
      </c>
      <c r="I627" s="84" t="s">
        <v>185</v>
      </c>
    </row>
    <row r="628" spans="1:9" x14ac:dyDescent="0.2">
      <c r="A628" s="84" t="s">
        <v>211</v>
      </c>
      <c r="B628" s="32" t="s">
        <v>21</v>
      </c>
      <c r="C628" s="82" t="s">
        <v>32</v>
      </c>
      <c r="D628" s="82">
        <v>60</v>
      </c>
      <c r="E628" s="83">
        <v>2</v>
      </c>
      <c r="F628" s="31">
        <v>0.3</v>
      </c>
      <c r="G628" s="31">
        <v>109</v>
      </c>
      <c r="H628" s="35">
        <f t="shared" si="22"/>
        <v>3.4696771000000001E-2</v>
      </c>
      <c r="I628" s="84" t="s">
        <v>185</v>
      </c>
    </row>
    <row r="629" spans="1:9" x14ac:dyDescent="0.2">
      <c r="A629" s="84" t="s">
        <v>211</v>
      </c>
      <c r="B629" s="32" t="s">
        <v>21</v>
      </c>
      <c r="C629" s="82" t="s">
        <v>32</v>
      </c>
      <c r="D629" s="82">
        <v>60</v>
      </c>
      <c r="E629" s="83">
        <v>3</v>
      </c>
      <c r="F629" s="31">
        <v>0.44</v>
      </c>
      <c r="G629" s="31">
        <v>239</v>
      </c>
      <c r="H629" s="35">
        <f t="shared" si="22"/>
        <v>7.6078241000000005E-2</v>
      </c>
      <c r="I629" s="84" t="s">
        <v>185</v>
      </c>
    </row>
    <row r="630" spans="1:9" x14ac:dyDescent="0.2">
      <c r="A630" s="84" t="s">
        <v>211</v>
      </c>
      <c r="B630" s="32" t="s">
        <v>21</v>
      </c>
      <c r="C630" s="82" t="s">
        <v>32</v>
      </c>
      <c r="D630" s="82">
        <v>60</v>
      </c>
      <c r="E630" s="83">
        <v>4</v>
      </c>
      <c r="F630" s="31">
        <v>0.56999999999999995</v>
      </c>
      <c r="G630" s="31">
        <v>328</v>
      </c>
      <c r="H630" s="35">
        <f t="shared" si="22"/>
        <v>0.10440863200000002</v>
      </c>
      <c r="I630" s="84" t="s">
        <v>185</v>
      </c>
    </row>
    <row r="631" spans="1:9" x14ac:dyDescent="0.2">
      <c r="A631" s="84" t="s">
        <v>211</v>
      </c>
      <c r="B631" s="32" t="s">
        <v>21</v>
      </c>
      <c r="C631" s="82" t="s">
        <v>32</v>
      </c>
      <c r="D631" s="82">
        <v>60</v>
      </c>
      <c r="E631" s="83">
        <v>5</v>
      </c>
      <c r="F631" s="31">
        <v>0.7</v>
      </c>
      <c r="G631" s="31">
        <v>417</v>
      </c>
      <c r="H631" s="35">
        <f t="shared" si="22"/>
        <v>0.13273902300000001</v>
      </c>
      <c r="I631" s="84" t="s">
        <v>185</v>
      </c>
    </row>
    <row r="632" spans="1:9" x14ac:dyDescent="0.2">
      <c r="A632" s="84" t="s">
        <v>211</v>
      </c>
      <c r="B632" s="32" t="s">
        <v>21</v>
      </c>
      <c r="C632" s="82" t="s">
        <v>32</v>
      </c>
      <c r="D632" s="82">
        <v>60</v>
      </c>
      <c r="E632" s="83">
        <v>7</v>
      </c>
      <c r="F632" s="31">
        <v>0.86</v>
      </c>
      <c r="G632" s="31">
        <v>539</v>
      </c>
      <c r="H632" s="35">
        <f t="shared" si="22"/>
        <v>0.17157394100000001</v>
      </c>
      <c r="I632" s="84" t="s">
        <v>185</v>
      </c>
    </row>
    <row r="633" spans="1:9" x14ac:dyDescent="0.2">
      <c r="A633" s="84" t="s">
        <v>211</v>
      </c>
      <c r="B633" s="32" t="s">
        <v>21</v>
      </c>
      <c r="C633" s="82" t="s">
        <v>32</v>
      </c>
      <c r="D633" s="82">
        <v>60</v>
      </c>
      <c r="E633" s="83">
        <v>10</v>
      </c>
      <c r="F633" s="31">
        <v>0.96</v>
      </c>
      <c r="G633" s="31">
        <v>620</v>
      </c>
      <c r="H633" s="35">
        <f t="shared" si="22"/>
        <v>0.19735778000000001</v>
      </c>
      <c r="I633" s="84" t="s">
        <v>185</v>
      </c>
    </row>
    <row r="634" spans="1:9" x14ac:dyDescent="0.2">
      <c r="A634" s="92" t="s">
        <v>190</v>
      </c>
      <c r="B634" s="93" t="s">
        <v>191</v>
      </c>
      <c r="C634" s="94" t="s">
        <v>27</v>
      </c>
      <c r="D634" s="94">
        <v>60</v>
      </c>
      <c r="E634" s="95">
        <v>0</v>
      </c>
      <c r="F634" s="96">
        <v>0</v>
      </c>
      <c r="G634" s="96">
        <v>-54</v>
      </c>
      <c r="H634" s="97">
        <f t="shared" si="22"/>
        <v>-1.7189226000000002E-2</v>
      </c>
      <c r="I634" s="92" t="s">
        <v>196</v>
      </c>
    </row>
    <row r="635" spans="1:9" x14ac:dyDescent="0.2">
      <c r="A635" s="92" t="s">
        <v>190</v>
      </c>
      <c r="B635" s="93" t="s">
        <v>191</v>
      </c>
      <c r="C635" s="94" t="s">
        <v>27</v>
      </c>
      <c r="D635" s="94">
        <v>60</v>
      </c>
      <c r="E635" s="95">
        <v>1</v>
      </c>
      <c r="F635" s="96">
        <v>0.13</v>
      </c>
      <c r="G635" s="96">
        <v>19</v>
      </c>
      <c r="H635" s="97">
        <f t="shared" si="22"/>
        <v>6.0480610000000004E-3</v>
      </c>
      <c r="I635" s="92" t="s">
        <v>196</v>
      </c>
    </row>
    <row r="636" spans="1:9" x14ac:dyDescent="0.2">
      <c r="A636" s="92" t="s">
        <v>197</v>
      </c>
      <c r="B636" s="93" t="s">
        <v>191</v>
      </c>
      <c r="C636" s="94" t="s">
        <v>30</v>
      </c>
      <c r="D636" s="94">
        <v>60</v>
      </c>
      <c r="E636" s="95">
        <v>2</v>
      </c>
      <c r="F636" s="96">
        <v>0.27</v>
      </c>
      <c r="G636" s="96">
        <v>65</v>
      </c>
      <c r="H636" s="97">
        <f t="shared" si="22"/>
        <v>2.0690735000000002E-2</v>
      </c>
      <c r="I636" s="92" t="s">
        <v>198</v>
      </c>
    </row>
    <row r="637" spans="1:9" x14ac:dyDescent="0.2">
      <c r="A637" s="92" t="s">
        <v>197</v>
      </c>
      <c r="B637" s="93" t="s">
        <v>191</v>
      </c>
      <c r="C637" s="94" t="s">
        <v>30</v>
      </c>
      <c r="D637" s="94">
        <v>60</v>
      </c>
      <c r="E637" s="95">
        <v>3</v>
      </c>
      <c r="F637" s="96">
        <v>0.4</v>
      </c>
      <c r="G637" s="96">
        <v>138</v>
      </c>
      <c r="H637" s="97">
        <f t="shared" si="22"/>
        <v>4.3928022000000004E-2</v>
      </c>
      <c r="I637" s="92" t="s">
        <v>198</v>
      </c>
    </row>
    <row r="638" spans="1:9" x14ac:dyDescent="0.2">
      <c r="A638" s="92" t="s">
        <v>197</v>
      </c>
      <c r="B638" s="93" t="s">
        <v>191</v>
      </c>
      <c r="C638" s="94" t="s">
        <v>30</v>
      </c>
      <c r="D638" s="94">
        <v>60</v>
      </c>
      <c r="E638" s="95">
        <v>4</v>
      </c>
      <c r="F638" s="96">
        <v>0.53</v>
      </c>
      <c r="G638" s="96">
        <v>197</v>
      </c>
      <c r="H638" s="97">
        <f t="shared" si="22"/>
        <v>6.2708843E-2</v>
      </c>
      <c r="I638" s="92" t="s">
        <v>198</v>
      </c>
    </row>
    <row r="639" spans="1:9" x14ac:dyDescent="0.2">
      <c r="A639" s="92" t="s">
        <v>197</v>
      </c>
      <c r="B639" s="93" t="s">
        <v>191</v>
      </c>
      <c r="C639" s="94" t="s">
        <v>30</v>
      </c>
      <c r="D639" s="94">
        <v>60</v>
      </c>
      <c r="E639" s="95">
        <v>5</v>
      </c>
      <c r="F639" s="96">
        <v>0.65</v>
      </c>
      <c r="G639" s="96">
        <v>247</v>
      </c>
      <c r="H639" s="97">
        <f t="shared" si="22"/>
        <v>7.8624792999999998E-2</v>
      </c>
      <c r="I639" s="92" t="s">
        <v>198</v>
      </c>
    </row>
    <row r="640" spans="1:9" x14ac:dyDescent="0.2">
      <c r="A640" s="92" t="s">
        <v>197</v>
      </c>
      <c r="B640" s="93" t="s">
        <v>191</v>
      </c>
      <c r="C640" s="94" t="s">
        <v>30</v>
      </c>
      <c r="D640" s="94">
        <v>60</v>
      </c>
      <c r="E640" s="95">
        <v>7</v>
      </c>
      <c r="F640" s="96">
        <v>0.81</v>
      </c>
      <c r="G640" s="96">
        <v>317</v>
      </c>
      <c r="H640" s="97">
        <f t="shared" si="22"/>
        <v>0.100907123</v>
      </c>
      <c r="I640" s="92" t="s">
        <v>198</v>
      </c>
    </row>
    <row r="641" spans="1:9" x14ac:dyDescent="0.2">
      <c r="A641" s="92" t="s">
        <v>197</v>
      </c>
      <c r="B641" s="93" t="s">
        <v>191</v>
      </c>
      <c r="C641" s="94" t="s">
        <v>30</v>
      </c>
      <c r="D641" s="94">
        <v>60</v>
      </c>
      <c r="E641" s="95">
        <v>10</v>
      </c>
      <c r="F641" s="96">
        <v>0.91</v>
      </c>
      <c r="G641" s="96">
        <v>378</v>
      </c>
      <c r="H641" s="97">
        <f t="shared" si="22"/>
        <v>0.12032458200000001</v>
      </c>
      <c r="I641" s="92" t="s">
        <v>198</v>
      </c>
    </row>
    <row r="642" spans="1:9" x14ac:dyDescent="0.2">
      <c r="A642" s="73" t="s">
        <v>140</v>
      </c>
      <c r="B642" s="49" t="s">
        <v>142</v>
      </c>
      <c r="C642" s="70" t="s">
        <v>27</v>
      </c>
      <c r="D642" s="70">
        <v>60</v>
      </c>
      <c r="E642" s="71">
        <v>0</v>
      </c>
      <c r="F642" s="98">
        <v>0</v>
      </c>
      <c r="G642" s="98">
        <v>18</v>
      </c>
      <c r="H642" s="54">
        <f t="shared" si="22"/>
        <v>5.7297419999999995E-3</v>
      </c>
      <c r="I642" s="73" t="s">
        <v>198</v>
      </c>
    </row>
    <row r="643" spans="1:9" x14ac:dyDescent="0.2">
      <c r="A643" s="73" t="s">
        <v>140</v>
      </c>
      <c r="B643" s="49" t="s">
        <v>142</v>
      </c>
      <c r="C643" s="70" t="s">
        <v>27</v>
      </c>
      <c r="D643" s="70">
        <v>60</v>
      </c>
      <c r="E643" s="71">
        <v>1</v>
      </c>
      <c r="F643" s="98">
        <v>0.15</v>
      </c>
      <c r="G643" s="98">
        <v>57</v>
      </c>
      <c r="H643" s="54">
        <f t="shared" si="22"/>
        <v>1.8144183000000001E-2</v>
      </c>
      <c r="I643" s="73" t="s">
        <v>198</v>
      </c>
    </row>
    <row r="644" spans="1:9" x14ac:dyDescent="0.2">
      <c r="A644" s="73" t="s">
        <v>139</v>
      </c>
      <c r="B644" s="49" t="s">
        <v>142</v>
      </c>
      <c r="C644" s="70" t="s">
        <v>30</v>
      </c>
      <c r="D644" s="70">
        <v>60</v>
      </c>
      <c r="E644" s="71">
        <v>2</v>
      </c>
      <c r="F644" s="98">
        <v>0.28999999999999998</v>
      </c>
      <c r="G644" s="98">
        <v>295</v>
      </c>
      <c r="H644" s="54">
        <f t="shared" si="22"/>
        <v>9.3904105000000002E-2</v>
      </c>
      <c r="I644" s="73" t="s">
        <v>198</v>
      </c>
    </row>
    <row r="645" spans="1:9" x14ac:dyDescent="0.2">
      <c r="A645" s="73" t="s">
        <v>139</v>
      </c>
      <c r="B645" s="49" t="s">
        <v>142</v>
      </c>
      <c r="C645" s="70" t="s">
        <v>30</v>
      </c>
      <c r="D645" s="70">
        <v>60</v>
      </c>
      <c r="E645" s="71">
        <v>3</v>
      </c>
      <c r="F645" s="98">
        <v>0.44</v>
      </c>
      <c r="G645" s="98">
        <v>456</v>
      </c>
      <c r="H645" s="54">
        <f t="shared" si="22"/>
        <v>0.14515346400000001</v>
      </c>
      <c r="I645" s="73" t="s">
        <v>198</v>
      </c>
    </row>
    <row r="646" spans="1:9" x14ac:dyDescent="0.2">
      <c r="A646" s="73" t="s">
        <v>139</v>
      </c>
      <c r="B646" s="49" t="s">
        <v>142</v>
      </c>
      <c r="C646" s="70" t="s">
        <v>30</v>
      </c>
      <c r="D646" s="70">
        <v>60</v>
      </c>
      <c r="E646" s="71">
        <v>4</v>
      </c>
      <c r="F646" s="98">
        <v>0.56999999999999995</v>
      </c>
      <c r="G646" s="98">
        <v>626</v>
      </c>
      <c r="H646" s="54">
        <f t="shared" si="22"/>
        <v>0.19926769400000002</v>
      </c>
      <c r="I646" s="73" t="s">
        <v>198</v>
      </c>
    </row>
    <row r="647" spans="1:9" x14ac:dyDescent="0.2">
      <c r="A647" s="73" t="s">
        <v>139</v>
      </c>
      <c r="B647" s="49" t="s">
        <v>142</v>
      </c>
      <c r="C647" s="70" t="s">
        <v>30</v>
      </c>
      <c r="D647" s="70">
        <v>60</v>
      </c>
      <c r="E647" s="71">
        <v>5</v>
      </c>
      <c r="F647" s="98">
        <v>0.71</v>
      </c>
      <c r="G647" s="98">
        <v>888</v>
      </c>
      <c r="H647" s="54">
        <f t="shared" si="22"/>
        <v>0.28266727200000002</v>
      </c>
      <c r="I647" s="73" t="s">
        <v>198</v>
      </c>
    </row>
    <row r="648" spans="1:9" x14ac:dyDescent="0.2">
      <c r="A648" s="73" t="s">
        <v>139</v>
      </c>
      <c r="B648" s="49" t="s">
        <v>142</v>
      </c>
      <c r="C648" s="70" t="s">
        <v>30</v>
      </c>
      <c r="D648" s="70">
        <v>60</v>
      </c>
      <c r="E648" s="71">
        <v>7</v>
      </c>
      <c r="F648" s="98">
        <v>0.87</v>
      </c>
      <c r="G648" s="98">
        <v>1238</v>
      </c>
      <c r="H648" s="54">
        <f t="shared" si="22"/>
        <v>0.394078922</v>
      </c>
      <c r="I648" s="73" t="s">
        <v>198</v>
      </c>
    </row>
    <row r="649" spans="1:9" x14ac:dyDescent="0.2">
      <c r="A649" s="73" t="s">
        <v>139</v>
      </c>
      <c r="B649" s="49" t="s">
        <v>142</v>
      </c>
      <c r="C649" s="70" t="s">
        <v>30</v>
      </c>
      <c r="D649" s="70">
        <v>60</v>
      </c>
      <c r="E649" s="71">
        <v>10</v>
      </c>
      <c r="F649" s="98">
        <v>0.97</v>
      </c>
      <c r="G649" s="98">
        <v>1549</v>
      </c>
      <c r="H649" s="54">
        <f t="shared" si="22"/>
        <v>0.49307613100000003</v>
      </c>
      <c r="I649" s="73" t="s">
        <v>198</v>
      </c>
    </row>
    <row r="650" spans="1:9" x14ac:dyDescent="0.2">
      <c r="A650" s="69" t="s">
        <v>194</v>
      </c>
      <c r="B650" s="41" t="s">
        <v>193</v>
      </c>
      <c r="C650" s="67" t="s">
        <v>27</v>
      </c>
      <c r="D650" s="67">
        <v>60</v>
      </c>
      <c r="E650" s="68">
        <v>0</v>
      </c>
      <c r="F650" s="99">
        <v>0</v>
      </c>
      <c r="G650" s="99">
        <v>-55</v>
      </c>
      <c r="H650" s="46">
        <f t="shared" si="22"/>
        <v>-1.7507545000000003E-2</v>
      </c>
      <c r="I650" s="69" t="s">
        <v>198</v>
      </c>
    </row>
    <row r="651" spans="1:9" x14ac:dyDescent="0.2">
      <c r="A651" s="69" t="s">
        <v>194</v>
      </c>
      <c r="B651" s="41" t="s">
        <v>193</v>
      </c>
      <c r="C651" s="67" t="s">
        <v>27</v>
      </c>
      <c r="D651" s="67">
        <v>60</v>
      </c>
      <c r="E651" s="68">
        <v>1</v>
      </c>
      <c r="F651" s="99">
        <v>0.14000000000000001</v>
      </c>
      <c r="G651" s="99">
        <v>17</v>
      </c>
      <c r="H651" s="46">
        <f t="shared" si="22"/>
        <v>5.4114230000000003E-3</v>
      </c>
      <c r="I651" s="69" t="s">
        <v>198</v>
      </c>
    </row>
    <row r="652" spans="1:9" x14ac:dyDescent="0.2">
      <c r="A652" s="69" t="s">
        <v>194</v>
      </c>
      <c r="B652" s="41" t="s">
        <v>193</v>
      </c>
      <c r="C652" s="67" t="s">
        <v>30</v>
      </c>
      <c r="D652" s="67">
        <v>60</v>
      </c>
      <c r="E652" s="68">
        <v>2</v>
      </c>
      <c r="F652" s="99">
        <v>0.28000000000000003</v>
      </c>
      <c r="G652" s="99">
        <v>96</v>
      </c>
      <c r="H652" s="46">
        <f t="shared" si="22"/>
        <v>3.0558624000000003E-2</v>
      </c>
      <c r="I652" s="69" t="s">
        <v>198</v>
      </c>
    </row>
    <row r="653" spans="1:9" x14ac:dyDescent="0.2">
      <c r="A653" s="69" t="s">
        <v>194</v>
      </c>
      <c r="B653" s="41" t="s">
        <v>193</v>
      </c>
      <c r="C653" s="67" t="s">
        <v>30</v>
      </c>
      <c r="D653" s="67">
        <v>60</v>
      </c>
      <c r="E653" s="68">
        <v>3</v>
      </c>
      <c r="F653" s="99">
        <v>0.42</v>
      </c>
      <c r="G653" s="99">
        <v>187</v>
      </c>
      <c r="H653" s="46">
        <f t="shared" si="22"/>
        <v>5.9525653000000005E-2</v>
      </c>
      <c r="I653" s="69" t="s">
        <v>198</v>
      </c>
    </row>
    <row r="654" spans="1:9" x14ac:dyDescent="0.2">
      <c r="A654" s="69" t="s">
        <v>194</v>
      </c>
      <c r="B654" s="41" t="s">
        <v>193</v>
      </c>
      <c r="C654" s="67" t="s">
        <v>30</v>
      </c>
      <c r="D654" s="67">
        <v>60</v>
      </c>
      <c r="E654" s="68">
        <v>4</v>
      </c>
      <c r="F654" s="99">
        <v>0.55000000000000004</v>
      </c>
      <c r="G654" s="99">
        <v>258</v>
      </c>
      <c r="H654" s="46">
        <f t="shared" si="22"/>
        <v>8.2126302000000012E-2</v>
      </c>
      <c r="I654" s="69" t="s">
        <v>198</v>
      </c>
    </row>
    <row r="655" spans="1:9" x14ac:dyDescent="0.2">
      <c r="A655" s="69" t="s">
        <v>194</v>
      </c>
      <c r="B655" s="41" t="s">
        <v>193</v>
      </c>
      <c r="C655" s="67" t="s">
        <v>30</v>
      </c>
      <c r="D655" s="67">
        <v>60</v>
      </c>
      <c r="E655" s="68">
        <v>5</v>
      </c>
      <c r="F655" s="99">
        <v>0.67</v>
      </c>
      <c r="G655" s="99">
        <v>324</v>
      </c>
      <c r="H655" s="46">
        <f t="shared" si="22"/>
        <v>0.10313535600000001</v>
      </c>
      <c r="I655" s="69" t="s">
        <v>198</v>
      </c>
    </row>
    <row r="656" spans="1:9" x14ac:dyDescent="0.2">
      <c r="A656" s="69" t="s">
        <v>194</v>
      </c>
      <c r="B656" s="41" t="s">
        <v>193</v>
      </c>
      <c r="C656" s="67" t="s">
        <v>30</v>
      </c>
      <c r="D656" s="67">
        <v>60</v>
      </c>
      <c r="E656" s="68">
        <v>7</v>
      </c>
      <c r="F656" s="99">
        <v>0.82</v>
      </c>
      <c r="G656" s="99">
        <v>417</v>
      </c>
      <c r="H656" s="46">
        <f t="shared" si="22"/>
        <v>0.13273902300000001</v>
      </c>
      <c r="I656" s="69" t="s">
        <v>198</v>
      </c>
    </row>
    <row r="657" spans="1:9" x14ac:dyDescent="0.2">
      <c r="A657" s="69" t="s">
        <v>194</v>
      </c>
      <c r="B657" s="41" t="s">
        <v>193</v>
      </c>
      <c r="C657" s="67" t="s">
        <v>30</v>
      </c>
      <c r="D657" s="67">
        <v>60</v>
      </c>
      <c r="E657" s="68">
        <v>10</v>
      </c>
      <c r="F657" s="99">
        <v>0.92</v>
      </c>
      <c r="G657" s="99">
        <v>488</v>
      </c>
      <c r="H657" s="46">
        <f t="shared" si="22"/>
        <v>0.15533967200000001</v>
      </c>
      <c r="I657" s="69" t="s">
        <v>198</v>
      </c>
    </row>
    <row r="658" spans="1:9" x14ac:dyDescent="0.2">
      <c r="A658" s="75" t="s">
        <v>192</v>
      </c>
      <c r="B658" s="76" t="s">
        <v>195</v>
      </c>
      <c r="C658" s="77" t="s">
        <v>27</v>
      </c>
      <c r="D658" s="77">
        <v>60</v>
      </c>
      <c r="E658" s="78">
        <v>0</v>
      </c>
      <c r="F658" s="101">
        <v>0</v>
      </c>
      <c r="G658" s="101">
        <v>-23</v>
      </c>
      <c r="H658" s="81">
        <f t="shared" si="22"/>
        <v>-7.3213370000000007E-3</v>
      </c>
      <c r="I658" s="75" t="s">
        <v>198</v>
      </c>
    </row>
    <row r="659" spans="1:9" x14ac:dyDescent="0.2">
      <c r="A659" s="75" t="s">
        <v>192</v>
      </c>
      <c r="B659" s="76" t="s">
        <v>195</v>
      </c>
      <c r="C659" s="77" t="s">
        <v>27</v>
      </c>
      <c r="D659" s="77">
        <v>60</v>
      </c>
      <c r="E659" s="78">
        <v>1</v>
      </c>
      <c r="F659" s="101">
        <v>0.14000000000000001</v>
      </c>
      <c r="G659" s="101">
        <v>-24</v>
      </c>
      <c r="H659" s="81">
        <f t="shared" si="22"/>
        <v>-7.6396560000000007E-3</v>
      </c>
      <c r="I659" s="75" t="s">
        <v>198</v>
      </c>
    </row>
    <row r="660" spans="1:9" x14ac:dyDescent="0.2">
      <c r="A660" s="75" t="s">
        <v>192</v>
      </c>
      <c r="B660" s="76" t="s">
        <v>195</v>
      </c>
      <c r="C660" s="77" t="s">
        <v>30</v>
      </c>
      <c r="D660" s="77">
        <v>60</v>
      </c>
      <c r="E660" s="78">
        <v>2</v>
      </c>
      <c r="F660" s="101">
        <v>0.28000000000000003</v>
      </c>
      <c r="G660" s="101">
        <v>107</v>
      </c>
      <c r="H660" s="81">
        <f t="shared" si="22"/>
        <v>3.4060132999999999E-2</v>
      </c>
      <c r="I660" s="75" t="s">
        <v>198</v>
      </c>
    </row>
    <row r="661" spans="1:9" x14ac:dyDescent="0.2">
      <c r="A661" s="75" t="s">
        <v>192</v>
      </c>
      <c r="B661" s="76" t="s">
        <v>195</v>
      </c>
      <c r="C661" s="77" t="s">
        <v>30</v>
      </c>
      <c r="D661" s="77">
        <v>60</v>
      </c>
      <c r="E661" s="78">
        <v>3</v>
      </c>
      <c r="F661" s="101">
        <v>0.41</v>
      </c>
      <c r="G661" s="101">
        <v>175</v>
      </c>
      <c r="H661" s="81">
        <f t="shared" si="22"/>
        <v>5.5705825E-2</v>
      </c>
      <c r="I661" s="75" t="s">
        <v>198</v>
      </c>
    </row>
    <row r="662" spans="1:9" x14ac:dyDescent="0.2">
      <c r="A662" s="75" t="s">
        <v>192</v>
      </c>
      <c r="B662" s="76" t="s">
        <v>195</v>
      </c>
      <c r="C662" s="77" t="s">
        <v>30</v>
      </c>
      <c r="D662" s="77">
        <v>60</v>
      </c>
      <c r="E662" s="78">
        <v>4</v>
      </c>
      <c r="F662" s="101">
        <v>0.55000000000000004</v>
      </c>
      <c r="G662" s="101">
        <v>247</v>
      </c>
      <c r="H662" s="81">
        <f t="shared" si="22"/>
        <v>7.8624792999999998E-2</v>
      </c>
      <c r="I662" s="75" t="s">
        <v>198</v>
      </c>
    </row>
    <row r="663" spans="1:9" x14ac:dyDescent="0.2">
      <c r="A663" s="75" t="s">
        <v>192</v>
      </c>
      <c r="B663" s="76" t="s">
        <v>195</v>
      </c>
      <c r="C663" s="77" t="s">
        <v>30</v>
      </c>
      <c r="D663" s="77">
        <v>60</v>
      </c>
      <c r="E663" s="78">
        <v>5</v>
      </c>
      <c r="F663" s="101">
        <v>0.67</v>
      </c>
      <c r="G663" s="101">
        <v>326</v>
      </c>
      <c r="H663" s="81">
        <f t="shared" si="22"/>
        <v>0.10377199400000001</v>
      </c>
      <c r="I663" s="75" t="s">
        <v>198</v>
      </c>
    </row>
    <row r="664" spans="1:9" x14ac:dyDescent="0.2">
      <c r="A664" s="75" t="s">
        <v>192</v>
      </c>
      <c r="B664" s="76" t="s">
        <v>195</v>
      </c>
      <c r="C664" s="77" t="s">
        <v>30</v>
      </c>
      <c r="D664" s="77">
        <v>60</v>
      </c>
      <c r="E664" s="78">
        <v>7</v>
      </c>
      <c r="F664" s="101">
        <v>0.82</v>
      </c>
      <c r="G664" s="101">
        <v>467</v>
      </c>
      <c r="H664" s="81">
        <f t="shared" si="22"/>
        <v>0.14865497300000002</v>
      </c>
      <c r="I664" s="75" t="s">
        <v>198</v>
      </c>
    </row>
    <row r="665" spans="1:9" x14ac:dyDescent="0.2">
      <c r="A665" s="75" t="s">
        <v>192</v>
      </c>
      <c r="B665" s="76" t="s">
        <v>195</v>
      </c>
      <c r="C665" s="77" t="s">
        <v>30</v>
      </c>
      <c r="D665" s="77">
        <v>60</v>
      </c>
      <c r="E665" s="78">
        <v>10</v>
      </c>
      <c r="F665" s="101">
        <v>0.92</v>
      </c>
      <c r="G665" s="101">
        <v>598</v>
      </c>
      <c r="H665" s="81">
        <f t="shared" si="22"/>
        <v>0.19035476200000001</v>
      </c>
      <c r="I665" s="75" t="s">
        <v>198</v>
      </c>
    </row>
    <row r="666" spans="1:9" x14ac:dyDescent="0.2">
      <c r="A666" s="92" t="s">
        <v>78</v>
      </c>
      <c r="B666" s="93" t="s">
        <v>77</v>
      </c>
      <c r="C666" s="94" t="s">
        <v>27</v>
      </c>
      <c r="D666" s="94">
        <v>60</v>
      </c>
      <c r="E666" s="95">
        <v>0</v>
      </c>
      <c r="F666" s="96">
        <v>0</v>
      </c>
      <c r="G666" s="96">
        <v>17</v>
      </c>
      <c r="H666" s="97">
        <f t="shared" si="22"/>
        <v>5.4114230000000003E-3</v>
      </c>
      <c r="I666" s="92" t="s">
        <v>198</v>
      </c>
    </row>
    <row r="667" spans="1:9" x14ac:dyDescent="0.2">
      <c r="A667" s="92" t="s">
        <v>78</v>
      </c>
      <c r="B667" s="93" t="s">
        <v>77</v>
      </c>
      <c r="C667" s="94" t="s">
        <v>27</v>
      </c>
      <c r="D667" s="94">
        <v>60</v>
      </c>
      <c r="E667" s="95">
        <v>1</v>
      </c>
      <c r="F667" s="96">
        <v>0.14000000000000001</v>
      </c>
      <c r="G667" s="96">
        <v>76</v>
      </c>
      <c r="H667" s="97">
        <f t="shared" si="22"/>
        <v>2.4192244000000002E-2</v>
      </c>
      <c r="I667" s="92" t="s">
        <v>198</v>
      </c>
    </row>
    <row r="668" spans="1:9" x14ac:dyDescent="0.2">
      <c r="A668" s="92" t="s">
        <v>73</v>
      </c>
      <c r="B668" s="93" t="s">
        <v>77</v>
      </c>
      <c r="C668" s="94" t="s">
        <v>30</v>
      </c>
      <c r="D668" s="94">
        <v>60</v>
      </c>
      <c r="E668" s="95">
        <v>2</v>
      </c>
      <c r="F668" s="96">
        <v>0.28000000000000003</v>
      </c>
      <c r="G668" s="96">
        <v>216</v>
      </c>
      <c r="H668" s="97">
        <f t="shared" si="22"/>
        <v>6.8756904000000008E-2</v>
      </c>
      <c r="I668" s="92" t="s">
        <v>198</v>
      </c>
    </row>
    <row r="669" spans="1:9" x14ac:dyDescent="0.2">
      <c r="A669" s="92" t="s">
        <v>73</v>
      </c>
      <c r="B669" s="93" t="s">
        <v>77</v>
      </c>
      <c r="C669" s="94" t="s">
        <v>30</v>
      </c>
      <c r="D669" s="94">
        <v>60</v>
      </c>
      <c r="E669" s="95">
        <v>3</v>
      </c>
      <c r="F669" s="96">
        <v>0.42</v>
      </c>
      <c r="G669" s="96">
        <v>336</v>
      </c>
      <c r="H669" s="97">
        <f t="shared" si="22"/>
        <v>0.10695518400000001</v>
      </c>
      <c r="I669" s="92" t="s">
        <v>198</v>
      </c>
    </row>
    <row r="670" spans="1:9" x14ac:dyDescent="0.2">
      <c r="A670" s="92" t="s">
        <v>73</v>
      </c>
      <c r="B670" s="93" t="s">
        <v>77</v>
      </c>
      <c r="C670" s="94" t="s">
        <v>30</v>
      </c>
      <c r="D670" s="94">
        <v>60</v>
      </c>
      <c r="E670" s="95">
        <v>4</v>
      </c>
      <c r="F670" s="96">
        <v>0.55000000000000004</v>
      </c>
      <c r="G670" s="96">
        <v>506</v>
      </c>
      <c r="H670" s="97">
        <f t="shared" si="22"/>
        <v>0.16106941400000002</v>
      </c>
      <c r="I670" s="92" t="s">
        <v>198</v>
      </c>
    </row>
    <row r="671" spans="1:9" x14ac:dyDescent="0.2">
      <c r="A671" s="92" t="s">
        <v>73</v>
      </c>
      <c r="B671" s="93" t="s">
        <v>77</v>
      </c>
      <c r="C671" s="94" t="s">
        <v>30</v>
      </c>
      <c r="D671" s="94">
        <v>60</v>
      </c>
      <c r="E671" s="95">
        <v>5</v>
      </c>
      <c r="F671" s="96">
        <v>0.67</v>
      </c>
      <c r="G671" s="96">
        <v>708</v>
      </c>
      <c r="H671" s="97">
        <f t="shared" si="22"/>
        <v>0.22536985200000001</v>
      </c>
      <c r="I671" s="92" t="s">
        <v>198</v>
      </c>
    </row>
    <row r="672" spans="1:9" x14ac:dyDescent="0.2">
      <c r="A672" s="92" t="s">
        <v>73</v>
      </c>
      <c r="B672" s="93" t="s">
        <v>77</v>
      </c>
      <c r="C672" s="94" t="s">
        <v>30</v>
      </c>
      <c r="D672" s="94">
        <v>60</v>
      </c>
      <c r="E672" s="95">
        <v>7</v>
      </c>
      <c r="F672" s="96">
        <v>0.83</v>
      </c>
      <c r="G672" s="96">
        <v>937</v>
      </c>
      <c r="H672" s="97">
        <f t="shared" si="22"/>
        <v>0.29826490300000003</v>
      </c>
      <c r="I672" s="92" t="s">
        <v>198</v>
      </c>
    </row>
    <row r="673" spans="1:9" x14ac:dyDescent="0.2">
      <c r="A673" s="92" t="s">
        <v>73</v>
      </c>
      <c r="B673" s="93" t="s">
        <v>77</v>
      </c>
      <c r="C673" s="94" t="s">
        <v>30</v>
      </c>
      <c r="D673" s="94">
        <v>60</v>
      </c>
      <c r="E673" s="95">
        <v>10</v>
      </c>
      <c r="F673" s="96">
        <v>0.93</v>
      </c>
      <c r="G673" s="96">
        <v>1097</v>
      </c>
      <c r="H673" s="97">
        <f t="shared" si="22"/>
        <v>0.34919594300000001</v>
      </c>
      <c r="I673" s="92" t="s">
        <v>198</v>
      </c>
    </row>
    <row r="674" spans="1:9" x14ac:dyDescent="0.2">
      <c r="A674" s="73" t="s">
        <v>212</v>
      </c>
      <c r="B674" s="49" t="s">
        <v>21</v>
      </c>
      <c r="C674" s="70" t="s">
        <v>32</v>
      </c>
      <c r="D674" s="70">
        <v>60</v>
      </c>
      <c r="E674" s="71">
        <v>0</v>
      </c>
      <c r="F674" s="98">
        <v>0</v>
      </c>
      <c r="G674" s="98">
        <v>17</v>
      </c>
      <c r="H674" s="54">
        <f t="shared" si="22"/>
        <v>5.4114230000000003E-3</v>
      </c>
      <c r="I674" s="73" t="s">
        <v>198</v>
      </c>
    </row>
    <row r="675" spans="1:9" x14ac:dyDescent="0.2">
      <c r="A675" s="73" t="s">
        <v>212</v>
      </c>
      <c r="B675" s="49" t="s">
        <v>21</v>
      </c>
      <c r="C675" s="70" t="s">
        <v>32</v>
      </c>
      <c r="D675" s="70">
        <v>60</v>
      </c>
      <c r="E675" s="71">
        <v>1</v>
      </c>
      <c r="F675" s="98">
        <v>0.15</v>
      </c>
      <c r="G675" s="98">
        <v>7</v>
      </c>
      <c r="H675" s="54">
        <f t="shared" si="22"/>
        <v>2.228233E-3</v>
      </c>
      <c r="I675" s="73" t="s">
        <v>198</v>
      </c>
    </row>
    <row r="676" spans="1:9" x14ac:dyDescent="0.2">
      <c r="A676" s="73" t="s">
        <v>212</v>
      </c>
      <c r="B676" s="49" t="s">
        <v>21</v>
      </c>
      <c r="C676" s="70" t="s">
        <v>32</v>
      </c>
      <c r="D676" s="70">
        <v>60</v>
      </c>
      <c r="E676" s="71">
        <v>2</v>
      </c>
      <c r="F676" s="98">
        <v>0.28999999999999998</v>
      </c>
      <c r="G676" s="98">
        <v>127</v>
      </c>
      <c r="H676" s="54">
        <f t="shared" si="22"/>
        <v>4.0426513000000004E-2</v>
      </c>
      <c r="I676" s="73" t="s">
        <v>198</v>
      </c>
    </row>
    <row r="677" spans="1:9" x14ac:dyDescent="0.2">
      <c r="A677" s="73" t="s">
        <v>212</v>
      </c>
      <c r="B677" s="49" t="s">
        <v>21</v>
      </c>
      <c r="C677" s="70" t="s">
        <v>32</v>
      </c>
      <c r="D677" s="70">
        <v>60</v>
      </c>
      <c r="E677" s="71">
        <v>3</v>
      </c>
      <c r="F677" s="98">
        <v>0.43</v>
      </c>
      <c r="G677" s="98">
        <v>266</v>
      </c>
      <c r="H677" s="54">
        <f t="shared" si="22"/>
        <v>8.4672854000000006E-2</v>
      </c>
      <c r="I677" s="73" t="s">
        <v>198</v>
      </c>
    </row>
    <row r="678" spans="1:9" x14ac:dyDescent="0.2">
      <c r="A678" s="73" t="s">
        <v>212</v>
      </c>
      <c r="B678" s="49" t="s">
        <v>21</v>
      </c>
      <c r="C678" s="70" t="s">
        <v>32</v>
      </c>
      <c r="D678" s="70">
        <v>60</v>
      </c>
      <c r="E678" s="71">
        <v>4</v>
      </c>
      <c r="F678" s="98">
        <v>0.56000000000000005</v>
      </c>
      <c r="G678" s="98">
        <v>396</v>
      </c>
      <c r="H678" s="54">
        <f t="shared" si="22"/>
        <v>0.12605432400000002</v>
      </c>
      <c r="I678" s="73" t="s">
        <v>198</v>
      </c>
    </row>
    <row r="679" spans="1:9" x14ac:dyDescent="0.2">
      <c r="A679" s="73" t="s">
        <v>212</v>
      </c>
      <c r="B679" s="49" t="s">
        <v>21</v>
      </c>
      <c r="C679" s="70" t="s">
        <v>32</v>
      </c>
      <c r="D679" s="70">
        <v>60</v>
      </c>
      <c r="E679" s="71">
        <v>5</v>
      </c>
      <c r="F679" s="98">
        <v>0.68</v>
      </c>
      <c r="G679" s="98">
        <v>517</v>
      </c>
      <c r="H679" s="54">
        <f t="shared" si="22"/>
        <v>0.16457092300000001</v>
      </c>
      <c r="I679" s="73" t="s">
        <v>198</v>
      </c>
    </row>
    <row r="680" spans="1:9" x14ac:dyDescent="0.2">
      <c r="A680" s="73" t="s">
        <v>212</v>
      </c>
      <c r="B680" s="49" t="s">
        <v>21</v>
      </c>
      <c r="C680" s="70" t="s">
        <v>32</v>
      </c>
      <c r="D680" s="70">
        <v>60</v>
      </c>
      <c r="E680" s="71">
        <v>7</v>
      </c>
      <c r="F680" s="98">
        <v>0.83</v>
      </c>
      <c r="G680" s="98">
        <v>677</v>
      </c>
      <c r="H680" s="54">
        <f t="shared" si="22"/>
        <v>0.21550196300000002</v>
      </c>
      <c r="I680" s="73" t="s">
        <v>198</v>
      </c>
    </row>
    <row r="681" spans="1:9" x14ac:dyDescent="0.2">
      <c r="A681" s="73" t="s">
        <v>212</v>
      </c>
      <c r="B681" s="49" t="s">
        <v>21</v>
      </c>
      <c r="C681" s="70" t="s">
        <v>32</v>
      </c>
      <c r="D681" s="70">
        <v>60</v>
      </c>
      <c r="E681" s="71">
        <v>10</v>
      </c>
      <c r="F681" s="98">
        <v>0.94</v>
      </c>
      <c r="G681" s="98">
        <v>788</v>
      </c>
      <c r="H681" s="54">
        <f t="shared" si="22"/>
        <v>0.250835372</v>
      </c>
      <c r="I681" s="73" t="s">
        <v>198</v>
      </c>
    </row>
    <row r="682" spans="1:9" x14ac:dyDescent="0.2">
      <c r="A682" s="69" t="s">
        <v>81</v>
      </c>
      <c r="B682" s="41" t="s">
        <v>80</v>
      </c>
      <c r="C682" s="67" t="s">
        <v>27</v>
      </c>
      <c r="D682" s="67">
        <v>60</v>
      </c>
      <c r="E682" s="68">
        <v>0</v>
      </c>
      <c r="F682" s="99">
        <v>0</v>
      </c>
      <c r="G682" s="99">
        <v>-24</v>
      </c>
      <c r="H682" s="46">
        <f t="shared" si="22"/>
        <v>-7.6396560000000007E-3</v>
      </c>
      <c r="I682" s="69" t="s">
        <v>198</v>
      </c>
    </row>
    <row r="683" spans="1:9" x14ac:dyDescent="0.2">
      <c r="A683" s="69" t="s">
        <v>81</v>
      </c>
      <c r="B683" s="41" t="s">
        <v>80</v>
      </c>
      <c r="C683" s="67" t="s">
        <v>27</v>
      </c>
      <c r="D683" s="67">
        <v>60</v>
      </c>
      <c r="E683" s="68">
        <v>1</v>
      </c>
      <c r="F683" s="99">
        <v>0.14000000000000001</v>
      </c>
      <c r="G683" s="99">
        <v>-13</v>
      </c>
      <c r="H683" s="46">
        <f t="shared" si="22"/>
        <v>-4.138147E-3</v>
      </c>
      <c r="I683" s="69" t="s">
        <v>196</v>
      </c>
    </row>
    <row r="684" spans="1:9" x14ac:dyDescent="0.2">
      <c r="A684" s="69" t="s">
        <v>186</v>
      </c>
      <c r="B684" s="41" t="s">
        <v>80</v>
      </c>
      <c r="C684" s="67" t="s">
        <v>30</v>
      </c>
      <c r="D684" s="67">
        <v>60</v>
      </c>
      <c r="E684" s="68">
        <v>2</v>
      </c>
      <c r="F684" s="99">
        <v>0.28000000000000003</v>
      </c>
      <c r="G684" s="99">
        <v>137</v>
      </c>
      <c r="H684" s="46">
        <f t="shared" si="22"/>
        <v>4.3609703000000007E-2</v>
      </c>
      <c r="I684" s="69" t="s">
        <v>198</v>
      </c>
    </row>
    <row r="685" spans="1:9" x14ac:dyDescent="0.2">
      <c r="A685" s="69" t="s">
        <v>186</v>
      </c>
      <c r="B685" s="41" t="s">
        <v>80</v>
      </c>
      <c r="C685" s="67" t="s">
        <v>30</v>
      </c>
      <c r="D685" s="67">
        <v>60</v>
      </c>
      <c r="E685" s="68">
        <v>3</v>
      </c>
      <c r="F685" s="99">
        <v>0.41</v>
      </c>
      <c r="G685" s="99">
        <v>247</v>
      </c>
      <c r="H685" s="46">
        <f t="shared" si="22"/>
        <v>7.8624792999999998E-2</v>
      </c>
      <c r="I685" s="69" t="s">
        <v>198</v>
      </c>
    </row>
    <row r="686" spans="1:9" x14ac:dyDescent="0.2">
      <c r="A686" s="69" t="s">
        <v>186</v>
      </c>
      <c r="B686" s="41" t="s">
        <v>80</v>
      </c>
      <c r="C686" s="67" t="s">
        <v>30</v>
      </c>
      <c r="D686" s="67">
        <v>60</v>
      </c>
      <c r="E686" s="68">
        <v>4</v>
      </c>
      <c r="F686" s="99">
        <v>0.54</v>
      </c>
      <c r="G686" s="99">
        <v>326</v>
      </c>
      <c r="H686" s="46">
        <f t="shared" si="22"/>
        <v>0.10377199400000001</v>
      </c>
      <c r="I686" s="69" t="s">
        <v>198</v>
      </c>
    </row>
    <row r="687" spans="1:9" x14ac:dyDescent="0.2">
      <c r="A687" s="69" t="s">
        <v>186</v>
      </c>
      <c r="B687" s="41" t="s">
        <v>80</v>
      </c>
      <c r="C687" s="67" t="s">
        <v>30</v>
      </c>
      <c r="D687" s="67">
        <v>60</v>
      </c>
      <c r="E687" s="68">
        <v>5</v>
      </c>
      <c r="F687" s="99">
        <v>0.65</v>
      </c>
      <c r="G687" s="99">
        <v>416</v>
      </c>
      <c r="H687" s="46">
        <f t="shared" si="22"/>
        <v>0.132420704</v>
      </c>
      <c r="I687" s="69" t="s">
        <v>198</v>
      </c>
    </row>
    <row r="688" spans="1:9" x14ac:dyDescent="0.2">
      <c r="A688" s="69" t="s">
        <v>186</v>
      </c>
      <c r="B688" s="41" t="s">
        <v>80</v>
      </c>
      <c r="C688" s="67" t="s">
        <v>30</v>
      </c>
      <c r="D688" s="67">
        <v>60</v>
      </c>
      <c r="E688" s="68">
        <v>7</v>
      </c>
      <c r="F688" s="99">
        <v>0.81</v>
      </c>
      <c r="G688" s="99">
        <v>599</v>
      </c>
      <c r="H688" s="46">
        <f t="shared" si="22"/>
        <v>0.19067308099999999</v>
      </c>
      <c r="I688" s="69" t="s">
        <v>198</v>
      </c>
    </row>
    <row r="689" spans="1:9" x14ac:dyDescent="0.2">
      <c r="A689" s="69" t="s">
        <v>186</v>
      </c>
      <c r="B689" s="41" t="s">
        <v>80</v>
      </c>
      <c r="C689" s="67" t="s">
        <v>30</v>
      </c>
      <c r="D689" s="67">
        <v>60</v>
      </c>
      <c r="E689" s="68">
        <v>10</v>
      </c>
      <c r="F689" s="99">
        <v>0.91</v>
      </c>
      <c r="G689" s="99">
        <v>699</v>
      </c>
      <c r="H689" s="46">
        <f t="shared" si="22"/>
        <v>0.22250498099999999</v>
      </c>
      <c r="I689" s="69" t="s">
        <v>198</v>
      </c>
    </row>
    <row r="690" spans="1:9" x14ac:dyDescent="0.2">
      <c r="A690" s="75" t="s">
        <v>203</v>
      </c>
      <c r="B690" s="76" t="s">
        <v>21</v>
      </c>
      <c r="C690" s="77" t="s">
        <v>32</v>
      </c>
      <c r="D690" s="77">
        <v>60</v>
      </c>
      <c r="E690" s="78">
        <v>0</v>
      </c>
      <c r="F690" s="110">
        <v>0</v>
      </c>
      <c r="G690" s="110">
        <v>15</v>
      </c>
      <c r="H690" s="81">
        <f t="shared" ref="H690:H753" si="23">G690/1000*0.318319</f>
        <v>4.7747850000000001E-3</v>
      </c>
      <c r="I690" s="75" t="s">
        <v>204</v>
      </c>
    </row>
    <row r="691" spans="1:9" x14ac:dyDescent="0.2">
      <c r="A691" s="75" t="s">
        <v>203</v>
      </c>
      <c r="B691" s="76" t="s">
        <v>21</v>
      </c>
      <c r="C691" s="77" t="s">
        <v>32</v>
      </c>
      <c r="D691" s="77">
        <v>60</v>
      </c>
      <c r="E691" s="78">
        <v>1</v>
      </c>
      <c r="F691" s="110">
        <v>0.14000000000000001</v>
      </c>
      <c r="G691" s="110">
        <v>53</v>
      </c>
      <c r="H691" s="81">
        <f t="shared" si="23"/>
        <v>1.6870907000000001E-2</v>
      </c>
      <c r="I691" s="75" t="s">
        <v>204</v>
      </c>
    </row>
    <row r="692" spans="1:9" x14ac:dyDescent="0.2">
      <c r="A692" s="75" t="s">
        <v>205</v>
      </c>
      <c r="B692" s="76" t="s">
        <v>21</v>
      </c>
      <c r="C692" s="77" t="s">
        <v>32</v>
      </c>
      <c r="D692" s="77">
        <v>60</v>
      </c>
      <c r="E692" s="78">
        <v>2</v>
      </c>
      <c r="F692" s="110">
        <v>0.28999999999999998</v>
      </c>
      <c r="G692" s="110">
        <v>143</v>
      </c>
      <c r="H692" s="81">
        <f t="shared" si="23"/>
        <v>4.5519616999999998E-2</v>
      </c>
      <c r="I692" s="75" t="s">
        <v>206</v>
      </c>
    </row>
    <row r="693" spans="1:9" x14ac:dyDescent="0.2">
      <c r="A693" s="75" t="s">
        <v>205</v>
      </c>
      <c r="B693" s="76" t="s">
        <v>21</v>
      </c>
      <c r="C693" s="77" t="s">
        <v>32</v>
      </c>
      <c r="D693" s="77">
        <v>60</v>
      </c>
      <c r="E693" s="78">
        <v>3</v>
      </c>
      <c r="F693" s="110">
        <v>0.42</v>
      </c>
      <c r="G693" s="110">
        <v>225</v>
      </c>
      <c r="H693" s="81">
        <f t="shared" si="23"/>
        <v>7.1621775000000013E-2</v>
      </c>
      <c r="I693" s="75" t="s">
        <v>206</v>
      </c>
    </row>
    <row r="694" spans="1:9" x14ac:dyDescent="0.2">
      <c r="A694" s="75" t="s">
        <v>205</v>
      </c>
      <c r="B694" s="76" t="s">
        <v>21</v>
      </c>
      <c r="C694" s="77" t="s">
        <v>32</v>
      </c>
      <c r="D694" s="77">
        <v>60</v>
      </c>
      <c r="E694" s="78">
        <v>4</v>
      </c>
      <c r="F694" s="110">
        <v>0.56000000000000005</v>
      </c>
      <c r="G694" s="110">
        <v>335</v>
      </c>
      <c r="H694" s="81">
        <f t="shared" si="23"/>
        <v>0.10663686500000001</v>
      </c>
      <c r="I694" s="75" t="s">
        <v>206</v>
      </c>
    </row>
    <row r="695" spans="1:9" x14ac:dyDescent="0.2">
      <c r="A695" s="75" t="s">
        <v>205</v>
      </c>
      <c r="B695" s="76" t="s">
        <v>21</v>
      </c>
      <c r="C695" s="77" t="s">
        <v>32</v>
      </c>
      <c r="D695" s="77">
        <v>60</v>
      </c>
      <c r="E695" s="78">
        <v>5</v>
      </c>
      <c r="F695" s="110">
        <v>0.68</v>
      </c>
      <c r="G695" s="110">
        <v>444</v>
      </c>
      <c r="H695" s="81">
        <f t="shared" si="23"/>
        <v>0.14133363600000001</v>
      </c>
      <c r="I695" s="75" t="s">
        <v>206</v>
      </c>
    </row>
    <row r="696" spans="1:9" x14ac:dyDescent="0.2">
      <c r="A696" s="75" t="s">
        <v>205</v>
      </c>
      <c r="B696" s="76" t="s">
        <v>21</v>
      </c>
      <c r="C696" s="77" t="s">
        <v>32</v>
      </c>
      <c r="D696" s="77">
        <v>60</v>
      </c>
      <c r="E696" s="78">
        <v>7</v>
      </c>
      <c r="F696" s="110">
        <v>0.83</v>
      </c>
      <c r="G696" s="110">
        <v>587</v>
      </c>
      <c r="H696" s="81">
        <f t="shared" si="23"/>
        <v>0.186853253</v>
      </c>
      <c r="I696" s="75" t="s">
        <v>206</v>
      </c>
    </row>
    <row r="697" spans="1:9" x14ac:dyDescent="0.2">
      <c r="A697" s="75" t="s">
        <v>205</v>
      </c>
      <c r="B697" s="76" t="s">
        <v>21</v>
      </c>
      <c r="C697" s="77" t="s">
        <v>32</v>
      </c>
      <c r="D697" s="77">
        <v>60</v>
      </c>
      <c r="E697" s="78">
        <v>10</v>
      </c>
      <c r="F697" s="110">
        <v>0.94</v>
      </c>
      <c r="G697" s="110">
        <v>697</v>
      </c>
      <c r="H697" s="81">
        <f t="shared" si="23"/>
        <v>0.221868343</v>
      </c>
      <c r="I697" s="75" t="s">
        <v>206</v>
      </c>
    </row>
    <row r="698" spans="1:9" x14ac:dyDescent="0.2">
      <c r="A698" s="92" t="s">
        <v>199</v>
      </c>
      <c r="B698" s="93" t="s">
        <v>200</v>
      </c>
      <c r="C698" s="94" t="s">
        <v>32</v>
      </c>
      <c r="D698" s="94">
        <v>60</v>
      </c>
      <c r="E698" s="95">
        <v>0</v>
      </c>
      <c r="F698" s="96">
        <v>0</v>
      </c>
      <c r="G698" s="96">
        <v>5</v>
      </c>
      <c r="H698" s="97">
        <f t="shared" si="23"/>
        <v>1.5915950000000001E-3</v>
      </c>
      <c r="I698" s="92" t="s">
        <v>206</v>
      </c>
    </row>
    <row r="699" spans="1:9" x14ac:dyDescent="0.2">
      <c r="A699" s="92" t="s">
        <v>199</v>
      </c>
      <c r="B699" s="93" t="s">
        <v>200</v>
      </c>
      <c r="C699" s="94" t="s">
        <v>32</v>
      </c>
      <c r="D699" s="94">
        <v>60</v>
      </c>
      <c r="E699" s="95">
        <v>1</v>
      </c>
      <c r="F699" s="96">
        <v>0.14000000000000001</v>
      </c>
      <c r="G699" s="96">
        <v>25</v>
      </c>
      <c r="H699" s="97">
        <f t="shared" si="23"/>
        <v>7.9579750000000008E-3</v>
      </c>
      <c r="I699" s="92" t="s">
        <v>206</v>
      </c>
    </row>
    <row r="700" spans="1:9" x14ac:dyDescent="0.2">
      <c r="A700" s="92" t="s">
        <v>207</v>
      </c>
      <c r="B700" s="93" t="s">
        <v>200</v>
      </c>
      <c r="C700" s="94" t="s">
        <v>32</v>
      </c>
      <c r="D700" s="94">
        <v>60</v>
      </c>
      <c r="E700" s="95">
        <v>2</v>
      </c>
      <c r="F700" s="96">
        <v>0.28000000000000003</v>
      </c>
      <c r="G700" s="96">
        <v>143</v>
      </c>
      <c r="H700" s="97">
        <f t="shared" si="23"/>
        <v>4.5519616999999998E-2</v>
      </c>
      <c r="I700" s="92" t="s">
        <v>206</v>
      </c>
    </row>
    <row r="701" spans="1:9" x14ac:dyDescent="0.2">
      <c r="A701" s="92" t="s">
        <v>207</v>
      </c>
      <c r="B701" s="93" t="s">
        <v>200</v>
      </c>
      <c r="C701" s="94" t="s">
        <v>32</v>
      </c>
      <c r="D701" s="94">
        <v>60</v>
      </c>
      <c r="E701" s="95">
        <v>3</v>
      </c>
      <c r="F701" s="96">
        <v>0.41</v>
      </c>
      <c r="G701" s="96">
        <v>213</v>
      </c>
      <c r="H701" s="97">
        <f t="shared" si="23"/>
        <v>6.7801947000000001E-2</v>
      </c>
      <c r="I701" s="92" t="s">
        <v>206</v>
      </c>
    </row>
    <row r="702" spans="1:9" x14ac:dyDescent="0.2">
      <c r="A702" s="92" t="s">
        <v>207</v>
      </c>
      <c r="B702" s="93" t="s">
        <v>200</v>
      </c>
      <c r="C702" s="94" t="s">
        <v>32</v>
      </c>
      <c r="D702" s="94">
        <v>60</v>
      </c>
      <c r="E702" s="95">
        <v>4</v>
      </c>
      <c r="F702" s="96">
        <v>0.54</v>
      </c>
      <c r="G702" s="96">
        <v>314</v>
      </c>
      <c r="H702" s="97">
        <f t="shared" si="23"/>
        <v>9.9952166000000009E-2</v>
      </c>
      <c r="I702" s="92" t="s">
        <v>206</v>
      </c>
    </row>
    <row r="703" spans="1:9" x14ac:dyDescent="0.2">
      <c r="A703" s="92" t="s">
        <v>207</v>
      </c>
      <c r="B703" s="93" t="s">
        <v>200</v>
      </c>
      <c r="C703" s="94" t="s">
        <v>32</v>
      </c>
      <c r="D703" s="94">
        <v>60</v>
      </c>
      <c r="E703" s="95">
        <v>5</v>
      </c>
      <c r="F703" s="96">
        <v>0.65</v>
      </c>
      <c r="G703" s="96">
        <v>404</v>
      </c>
      <c r="H703" s="97">
        <f t="shared" si="23"/>
        <v>0.128600876</v>
      </c>
      <c r="I703" s="92" t="s">
        <v>206</v>
      </c>
    </row>
    <row r="704" spans="1:9" x14ac:dyDescent="0.2">
      <c r="A704" s="92" t="s">
        <v>207</v>
      </c>
      <c r="B704" s="93" t="s">
        <v>200</v>
      </c>
      <c r="C704" s="94" t="s">
        <v>32</v>
      </c>
      <c r="D704" s="94">
        <v>60</v>
      </c>
      <c r="E704" s="95">
        <v>7</v>
      </c>
      <c r="F704" s="96">
        <v>0.81</v>
      </c>
      <c r="G704" s="96">
        <v>515</v>
      </c>
      <c r="H704" s="97">
        <f t="shared" si="23"/>
        <v>0.16393428500000001</v>
      </c>
      <c r="I704" s="92" t="s">
        <v>206</v>
      </c>
    </row>
    <row r="705" spans="1:9" x14ac:dyDescent="0.2">
      <c r="A705" s="92" t="s">
        <v>207</v>
      </c>
      <c r="B705" s="93" t="s">
        <v>200</v>
      </c>
      <c r="C705" s="94" t="s">
        <v>32</v>
      </c>
      <c r="D705" s="94">
        <v>60</v>
      </c>
      <c r="E705" s="95">
        <v>10</v>
      </c>
      <c r="F705" s="96">
        <v>0.91</v>
      </c>
      <c r="G705" s="96">
        <v>556</v>
      </c>
      <c r="H705" s="97">
        <f t="shared" si="23"/>
        <v>0.17698536400000003</v>
      </c>
      <c r="I705" s="92" t="s">
        <v>206</v>
      </c>
    </row>
    <row r="706" spans="1:9" x14ac:dyDescent="0.2">
      <c r="A706" s="73" t="s">
        <v>78</v>
      </c>
      <c r="B706" s="49" t="s">
        <v>77</v>
      </c>
      <c r="C706" s="70" t="s">
        <v>27</v>
      </c>
      <c r="D706" s="70">
        <v>60</v>
      </c>
      <c r="E706" s="71">
        <v>0</v>
      </c>
      <c r="F706" s="98">
        <v>0</v>
      </c>
      <c r="G706" s="98">
        <v>117</v>
      </c>
      <c r="H706" s="54">
        <f t="shared" si="23"/>
        <v>3.7243323000000002E-2</v>
      </c>
      <c r="I706" s="73" t="s">
        <v>206</v>
      </c>
    </row>
    <row r="707" spans="1:9" x14ac:dyDescent="0.2">
      <c r="A707" s="73" t="s">
        <v>78</v>
      </c>
      <c r="B707" s="49" t="s">
        <v>77</v>
      </c>
      <c r="C707" s="70" t="s">
        <v>27</v>
      </c>
      <c r="D707" s="70">
        <v>60</v>
      </c>
      <c r="E707" s="71">
        <v>1</v>
      </c>
      <c r="F707" s="98">
        <v>0.14000000000000001</v>
      </c>
      <c r="G707" s="98">
        <v>226</v>
      </c>
      <c r="H707" s="54">
        <f t="shared" si="23"/>
        <v>7.194009400000001E-2</v>
      </c>
      <c r="I707" s="73" t="s">
        <v>206</v>
      </c>
    </row>
    <row r="708" spans="1:9" x14ac:dyDescent="0.2">
      <c r="A708" s="73" t="s">
        <v>73</v>
      </c>
      <c r="B708" s="49" t="s">
        <v>77</v>
      </c>
      <c r="C708" s="70" t="s">
        <v>27</v>
      </c>
      <c r="D708" s="70">
        <v>60</v>
      </c>
      <c r="E708" s="71">
        <v>2</v>
      </c>
      <c r="F708" s="98">
        <v>0.28000000000000003</v>
      </c>
      <c r="G708" s="98">
        <v>305</v>
      </c>
      <c r="H708" s="54">
        <f t="shared" si="23"/>
        <v>9.7087295000000004E-2</v>
      </c>
      <c r="I708" s="73" t="s">
        <v>206</v>
      </c>
    </row>
    <row r="709" spans="1:9" x14ac:dyDescent="0.2">
      <c r="A709" s="73" t="s">
        <v>73</v>
      </c>
      <c r="B709" s="49" t="s">
        <v>77</v>
      </c>
      <c r="C709" s="70" t="s">
        <v>27</v>
      </c>
      <c r="D709" s="70">
        <v>60</v>
      </c>
      <c r="E709" s="71">
        <v>3</v>
      </c>
      <c r="F709" s="98">
        <v>0.41</v>
      </c>
      <c r="G709" s="98">
        <v>405</v>
      </c>
      <c r="H709" s="54">
        <f t="shared" si="23"/>
        <v>0.12891919500000001</v>
      </c>
      <c r="I709" s="73" t="s">
        <v>206</v>
      </c>
    </row>
    <row r="710" spans="1:9" x14ac:dyDescent="0.2">
      <c r="A710" s="73" t="s">
        <v>73</v>
      </c>
      <c r="B710" s="49" t="s">
        <v>77</v>
      </c>
      <c r="C710" s="70" t="s">
        <v>27</v>
      </c>
      <c r="D710" s="70">
        <v>60</v>
      </c>
      <c r="E710" s="71">
        <v>4</v>
      </c>
      <c r="F710" s="98">
        <v>0.54</v>
      </c>
      <c r="G710" s="98">
        <v>548</v>
      </c>
      <c r="H710" s="54">
        <f t="shared" si="23"/>
        <v>0.17443881200000003</v>
      </c>
      <c r="I710" s="73" t="s">
        <v>206</v>
      </c>
    </row>
    <row r="711" spans="1:9" x14ac:dyDescent="0.2">
      <c r="A711" s="73" t="s">
        <v>73</v>
      </c>
      <c r="B711" s="49" t="s">
        <v>77</v>
      </c>
      <c r="C711" s="70" t="s">
        <v>27</v>
      </c>
      <c r="D711" s="70">
        <v>60</v>
      </c>
      <c r="E711" s="71">
        <v>5</v>
      </c>
      <c r="F711" s="98">
        <v>0.66</v>
      </c>
      <c r="G711" s="98">
        <v>698</v>
      </c>
      <c r="H711" s="54">
        <f t="shared" si="23"/>
        <v>0.22218666200000001</v>
      </c>
      <c r="I711" s="73" t="s">
        <v>206</v>
      </c>
    </row>
    <row r="712" spans="1:9" x14ac:dyDescent="0.2">
      <c r="A712" s="73" t="s">
        <v>73</v>
      </c>
      <c r="B712" s="49" t="s">
        <v>77</v>
      </c>
      <c r="C712" s="70" t="s">
        <v>27</v>
      </c>
      <c r="D712" s="70">
        <v>60</v>
      </c>
      <c r="E712" s="71">
        <v>7</v>
      </c>
      <c r="F712" s="98">
        <v>0.81</v>
      </c>
      <c r="G712" s="98">
        <v>919</v>
      </c>
      <c r="H712" s="54">
        <f t="shared" si="23"/>
        <v>0.29253516100000004</v>
      </c>
      <c r="I712" s="73" t="s">
        <v>206</v>
      </c>
    </row>
    <row r="713" spans="1:9" x14ac:dyDescent="0.2">
      <c r="A713" s="73" t="s">
        <v>73</v>
      </c>
      <c r="B713" s="49" t="s">
        <v>77</v>
      </c>
      <c r="C713" s="70" t="s">
        <v>27</v>
      </c>
      <c r="D713" s="70">
        <v>60</v>
      </c>
      <c r="E713" s="71">
        <v>10</v>
      </c>
      <c r="F713" s="98">
        <v>0.91</v>
      </c>
      <c r="G713" s="98">
        <v>1178</v>
      </c>
      <c r="H713" s="54">
        <f t="shared" si="23"/>
        <v>0.37497978199999998</v>
      </c>
      <c r="I713" s="73" t="s">
        <v>206</v>
      </c>
    </row>
    <row r="714" spans="1:9" x14ac:dyDescent="0.2">
      <c r="A714" s="69" t="s">
        <v>210</v>
      </c>
      <c r="B714" s="41" t="s">
        <v>21</v>
      </c>
      <c r="C714" s="67" t="s">
        <v>27</v>
      </c>
      <c r="D714" s="67">
        <v>60</v>
      </c>
      <c r="E714" s="68">
        <v>0</v>
      </c>
      <c r="F714" s="99">
        <v>0</v>
      </c>
      <c r="G714" s="99">
        <v>87</v>
      </c>
      <c r="H714" s="46">
        <f t="shared" si="23"/>
        <v>2.7693752999999998E-2</v>
      </c>
      <c r="I714" s="69" t="s">
        <v>206</v>
      </c>
    </row>
    <row r="715" spans="1:9" x14ac:dyDescent="0.2">
      <c r="A715" s="69" t="s">
        <v>210</v>
      </c>
      <c r="B715" s="41" t="s">
        <v>21</v>
      </c>
      <c r="C715" s="67" t="s">
        <v>27</v>
      </c>
      <c r="D715" s="67">
        <v>60</v>
      </c>
      <c r="E715" s="68">
        <v>1</v>
      </c>
      <c r="F715" s="99">
        <v>0.14000000000000001</v>
      </c>
      <c r="G715" s="99">
        <v>137</v>
      </c>
      <c r="H715" s="46">
        <f t="shared" si="23"/>
        <v>4.3609703000000007E-2</v>
      </c>
      <c r="I715" s="69" t="s">
        <v>206</v>
      </c>
    </row>
    <row r="716" spans="1:9" x14ac:dyDescent="0.2">
      <c r="A716" s="69" t="s">
        <v>210</v>
      </c>
      <c r="B716" s="41" t="s">
        <v>21</v>
      </c>
      <c r="C716" s="67" t="s">
        <v>30</v>
      </c>
      <c r="D716" s="67">
        <v>60</v>
      </c>
      <c r="E716" s="68">
        <v>2</v>
      </c>
      <c r="F716" s="99">
        <v>0.28000000000000003</v>
      </c>
      <c r="G716" s="99">
        <v>265</v>
      </c>
      <c r="H716" s="46">
        <f t="shared" si="23"/>
        <v>8.4354535000000008E-2</v>
      </c>
      <c r="I716" s="69" t="s">
        <v>206</v>
      </c>
    </row>
    <row r="717" spans="1:9" x14ac:dyDescent="0.2">
      <c r="A717" s="69" t="s">
        <v>210</v>
      </c>
      <c r="B717" s="41" t="s">
        <v>21</v>
      </c>
      <c r="C717" s="67" t="s">
        <v>30</v>
      </c>
      <c r="D717" s="67">
        <v>60</v>
      </c>
      <c r="E717" s="68">
        <v>3</v>
      </c>
      <c r="F717" s="99">
        <v>0.42</v>
      </c>
      <c r="G717" s="99">
        <v>414</v>
      </c>
      <c r="H717" s="46">
        <f t="shared" si="23"/>
        <v>0.13178406600000001</v>
      </c>
      <c r="I717" s="69" t="s">
        <v>206</v>
      </c>
    </row>
    <row r="718" spans="1:9" x14ac:dyDescent="0.2">
      <c r="A718" s="69" t="s">
        <v>210</v>
      </c>
      <c r="B718" s="41" t="s">
        <v>21</v>
      </c>
      <c r="C718" s="67" t="s">
        <v>30</v>
      </c>
      <c r="D718" s="67">
        <v>60</v>
      </c>
      <c r="E718" s="68">
        <v>4</v>
      </c>
      <c r="F718" s="99">
        <v>0.54</v>
      </c>
      <c r="G718" s="99">
        <v>547</v>
      </c>
      <c r="H718" s="46">
        <f t="shared" si="23"/>
        <v>0.17412049300000002</v>
      </c>
      <c r="I718" s="69" t="s">
        <v>206</v>
      </c>
    </row>
    <row r="719" spans="1:9" x14ac:dyDescent="0.2">
      <c r="A719" s="69" t="s">
        <v>210</v>
      </c>
      <c r="B719" s="41" t="s">
        <v>21</v>
      </c>
      <c r="C719" s="67" t="s">
        <v>30</v>
      </c>
      <c r="D719" s="67">
        <v>60</v>
      </c>
      <c r="E719" s="68">
        <v>5</v>
      </c>
      <c r="F719" s="99">
        <v>0.66</v>
      </c>
      <c r="G719" s="99">
        <v>688</v>
      </c>
      <c r="H719" s="46">
        <f t="shared" si="23"/>
        <v>0.219003472</v>
      </c>
      <c r="I719" s="69" t="s">
        <v>206</v>
      </c>
    </row>
    <row r="720" spans="1:9" x14ac:dyDescent="0.2">
      <c r="A720" s="69" t="s">
        <v>210</v>
      </c>
      <c r="B720" s="41" t="s">
        <v>21</v>
      </c>
      <c r="C720" s="67" t="s">
        <v>30</v>
      </c>
      <c r="D720" s="67">
        <v>60</v>
      </c>
      <c r="E720" s="68">
        <v>7</v>
      </c>
      <c r="F720" s="99">
        <v>0.81</v>
      </c>
      <c r="G720" s="99">
        <v>870</v>
      </c>
      <c r="H720" s="46">
        <f t="shared" si="23"/>
        <v>0.27693752999999999</v>
      </c>
      <c r="I720" s="69" t="s">
        <v>206</v>
      </c>
    </row>
    <row r="721" spans="1:9" x14ac:dyDescent="0.2">
      <c r="A721" s="69" t="s">
        <v>210</v>
      </c>
      <c r="B721" s="41" t="s">
        <v>21</v>
      </c>
      <c r="C721" s="67" t="s">
        <v>30</v>
      </c>
      <c r="D721" s="67">
        <v>60</v>
      </c>
      <c r="E721" s="68">
        <v>10</v>
      </c>
      <c r="F721" s="99">
        <v>0.87</v>
      </c>
      <c r="G721" s="99">
        <v>979</v>
      </c>
      <c r="H721" s="46">
        <f t="shared" si="23"/>
        <v>0.311634301</v>
      </c>
      <c r="I721" s="69" t="s">
        <v>206</v>
      </c>
    </row>
    <row r="722" spans="1:9" x14ac:dyDescent="0.2">
      <c r="A722" s="65" t="s">
        <v>201</v>
      </c>
      <c r="B722" s="60" t="s">
        <v>202</v>
      </c>
      <c r="C722" s="61" t="s">
        <v>32</v>
      </c>
      <c r="D722" s="61">
        <v>60</v>
      </c>
      <c r="E722" s="62">
        <v>0</v>
      </c>
      <c r="F722" s="100">
        <v>0</v>
      </c>
      <c r="G722" s="100">
        <v>17</v>
      </c>
      <c r="H722" s="64">
        <f t="shared" si="23"/>
        <v>5.4114230000000003E-3</v>
      </c>
      <c r="I722" s="65" t="s">
        <v>206</v>
      </c>
    </row>
    <row r="723" spans="1:9" x14ac:dyDescent="0.2">
      <c r="A723" s="65" t="s">
        <v>201</v>
      </c>
      <c r="B723" s="60" t="s">
        <v>202</v>
      </c>
      <c r="C723" s="61" t="s">
        <v>32</v>
      </c>
      <c r="D723" s="61">
        <v>60</v>
      </c>
      <c r="E723" s="62">
        <v>1</v>
      </c>
      <c r="F723" s="100">
        <v>0.14000000000000001</v>
      </c>
      <c r="G723" s="100">
        <v>44</v>
      </c>
      <c r="H723" s="64">
        <f t="shared" si="23"/>
        <v>1.4006035999999999E-2</v>
      </c>
      <c r="I723" s="65" t="s">
        <v>206</v>
      </c>
    </row>
    <row r="724" spans="1:9" x14ac:dyDescent="0.2">
      <c r="A724" s="65" t="s">
        <v>208</v>
      </c>
      <c r="B724" s="60" t="s">
        <v>202</v>
      </c>
      <c r="C724" s="61" t="s">
        <v>32</v>
      </c>
      <c r="D724" s="61">
        <v>60</v>
      </c>
      <c r="E724" s="62">
        <v>2</v>
      </c>
      <c r="F724" s="100">
        <v>0.28999999999999998</v>
      </c>
      <c r="G724" s="100">
        <v>145</v>
      </c>
      <c r="H724" s="64">
        <f t="shared" si="23"/>
        <v>4.6156255E-2</v>
      </c>
      <c r="I724" s="65" t="s">
        <v>206</v>
      </c>
    </row>
    <row r="725" spans="1:9" x14ac:dyDescent="0.2">
      <c r="A725" s="65" t="s">
        <v>208</v>
      </c>
      <c r="B725" s="60" t="s">
        <v>202</v>
      </c>
      <c r="C725" s="61" t="s">
        <v>32</v>
      </c>
      <c r="D725" s="61">
        <v>60</v>
      </c>
      <c r="E725" s="62">
        <v>3</v>
      </c>
      <c r="F725" s="100">
        <v>0.42</v>
      </c>
      <c r="G725" s="100">
        <v>265</v>
      </c>
      <c r="H725" s="64">
        <f t="shared" si="23"/>
        <v>8.4354535000000008E-2</v>
      </c>
      <c r="I725" s="65" t="s">
        <v>206</v>
      </c>
    </row>
    <row r="726" spans="1:9" x14ac:dyDescent="0.2">
      <c r="A726" s="65" t="s">
        <v>208</v>
      </c>
      <c r="B726" s="60" t="s">
        <v>202</v>
      </c>
      <c r="C726" s="61" t="s">
        <v>32</v>
      </c>
      <c r="D726" s="61">
        <v>60</v>
      </c>
      <c r="E726" s="62">
        <v>4</v>
      </c>
      <c r="F726" s="100">
        <v>0.55000000000000004</v>
      </c>
      <c r="G726" s="100">
        <v>356</v>
      </c>
      <c r="H726" s="64">
        <f t="shared" si="23"/>
        <v>0.113321564</v>
      </c>
      <c r="I726" s="65" t="s">
        <v>206</v>
      </c>
    </row>
    <row r="727" spans="1:9" x14ac:dyDescent="0.2">
      <c r="A727" s="65" t="s">
        <v>208</v>
      </c>
      <c r="B727" s="60" t="s">
        <v>202</v>
      </c>
      <c r="C727" s="61" t="s">
        <v>32</v>
      </c>
      <c r="D727" s="61">
        <v>60</v>
      </c>
      <c r="E727" s="62">
        <v>5</v>
      </c>
      <c r="F727" s="100">
        <v>0.67</v>
      </c>
      <c r="G727" s="100">
        <v>456</v>
      </c>
      <c r="H727" s="64">
        <f t="shared" si="23"/>
        <v>0.14515346400000001</v>
      </c>
      <c r="I727" s="65" t="s">
        <v>206</v>
      </c>
    </row>
    <row r="728" spans="1:9" x14ac:dyDescent="0.2">
      <c r="A728" s="65" t="s">
        <v>208</v>
      </c>
      <c r="B728" s="60" t="s">
        <v>202</v>
      </c>
      <c r="C728" s="61" t="s">
        <v>32</v>
      </c>
      <c r="D728" s="61">
        <v>60</v>
      </c>
      <c r="E728" s="62">
        <v>7</v>
      </c>
      <c r="F728" s="100">
        <v>0.83</v>
      </c>
      <c r="G728" s="100">
        <v>545</v>
      </c>
      <c r="H728" s="64">
        <f t="shared" si="23"/>
        <v>0.17348385500000002</v>
      </c>
      <c r="I728" s="65" t="s">
        <v>206</v>
      </c>
    </row>
    <row r="729" spans="1:9" x14ac:dyDescent="0.2">
      <c r="A729" s="65" t="s">
        <v>208</v>
      </c>
      <c r="B729" s="60" t="s">
        <v>202</v>
      </c>
      <c r="C729" s="61" t="s">
        <v>32</v>
      </c>
      <c r="D729" s="61">
        <v>60</v>
      </c>
      <c r="E729" s="62">
        <v>10</v>
      </c>
      <c r="F729" s="100">
        <v>0.93</v>
      </c>
      <c r="G729" s="100">
        <v>676</v>
      </c>
      <c r="H729" s="64">
        <f t="shared" si="23"/>
        <v>0.21518364400000004</v>
      </c>
      <c r="I729" s="65" t="s">
        <v>206</v>
      </c>
    </row>
    <row r="730" spans="1:9" x14ac:dyDescent="0.2">
      <c r="A730" s="92" t="s">
        <v>201</v>
      </c>
      <c r="B730" s="93" t="s">
        <v>202</v>
      </c>
      <c r="C730" s="94" t="s">
        <v>27</v>
      </c>
      <c r="D730" s="94">
        <v>60</v>
      </c>
      <c r="E730" s="95">
        <v>0</v>
      </c>
      <c r="F730" s="96">
        <v>0</v>
      </c>
      <c r="G730" s="96">
        <v>7</v>
      </c>
      <c r="H730" s="97">
        <f t="shared" si="23"/>
        <v>2.228233E-3</v>
      </c>
      <c r="I730" s="92" t="s">
        <v>206</v>
      </c>
    </row>
    <row r="731" spans="1:9" x14ac:dyDescent="0.2">
      <c r="A731" s="92" t="s">
        <v>201</v>
      </c>
      <c r="B731" s="93" t="s">
        <v>202</v>
      </c>
      <c r="C731" s="94" t="s">
        <v>27</v>
      </c>
      <c r="D731" s="94">
        <v>60</v>
      </c>
      <c r="E731" s="95">
        <v>1</v>
      </c>
      <c r="F731" s="96">
        <v>0.14000000000000001</v>
      </c>
      <c r="G731" s="96">
        <v>16</v>
      </c>
      <c r="H731" s="97">
        <f t="shared" si="23"/>
        <v>5.0931040000000002E-3</v>
      </c>
      <c r="I731" s="92" t="s">
        <v>206</v>
      </c>
    </row>
    <row r="732" spans="1:9" x14ac:dyDescent="0.2">
      <c r="A732" s="92" t="s">
        <v>208</v>
      </c>
      <c r="B732" s="93" t="s">
        <v>202</v>
      </c>
      <c r="C732" s="94" t="s">
        <v>30</v>
      </c>
      <c r="D732" s="94">
        <v>60</v>
      </c>
      <c r="E732" s="95">
        <v>2</v>
      </c>
      <c r="F732" s="96">
        <v>0.28000000000000003</v>
      </c>
      <c r="G732" s="96">
        <v>145</v>
      </c>
      <c r="H732" s="97">
        <f t="shared" si="23"/>
        <v>4.6156255E-2</v>
      </c>
      <c r="I732" s="92" t="s">
        <v>206</v>
      </c>
    </row>
    <row r="733" spans="1:9" x14ac:dyDescent="0.2">
      <c r="A733" s="92" t="s">
        <v>208</v>
      </c>
      <c r="B733" s="93" t="s">
        <v>202</v>
      </c>
      <c r="C733" s="94" t="s">
        <v>30</v>
      </c>
      <c r="D733" s="94">
        <v>60</v>
      </c>
      <c r="E733" s="95">
        <v>3</v>
      </c>
      <c r="F733" s="96">
        <v>0.41</v>
      </c>
      <c r="G733" s="96">
        <v>227</v>
      </c>
      <c r="H733" s="97">
        <f t="shared" si="23"/>
        <v>7.2258413000000007E-2</v>
      </c>
      <c r="I733" s="92" t="s">
        <v>206</v>
      </c>
    </row>
    <row r="734" spans="1:9" x14ac:dyDescent="0.2">
      <c r="A734" s="92" t="s">
        <v>208</v>
      </c>
      <c r="B734" s="93" t="s">
        <v>202</v>
      </c>
      <c r="C734" s="94" t="s">
        <v>30</v>
      </c>
      <c r="D734" s="94">
        <v>60</v>
      </c>
      <c r="E734" s="95">
        <v>4</v>
      </c>
      <c r="F734" s="96">
        <v>0.54</v>
      </c>
      <c r="G734" s="96">
        <v>316</v>
      </c>
      <c r="H734" s="97">
        <f t="shared" si="23"/>
        <v>0.100588804</v>
      </c>
      <c r="I734" s="92" t="s">
        <v>206</v>
      </c>
    </row>
    <row r="735" spans="1:9" x14ac:dyDescent="0.2">
      <c r="A735" s="92" t="s">
        <v>208</v>
      </c>
      <c r="B735" s="93" t="s">
        <v>202</v>
      </c>
      <c r="C735" s="94" t="s">
        <v>30</v>
      </c>
      <c r="D735" s="94">
        <v>60</v>
      </c>
      <c r="E735" s="95">
        <v>5</v>
      </c>
      <c r="F735" s="96">
        <v>0.66</v>
      </c>
      <c r="G735" s="96">
        <v>488</v>
      </c>
      <c r="H735" s="97">
        <f t="shared" si="23"/>
        <v>0.15533967200000001</v>
      </c>
      <c r="I735" s="92" t="s">
        <v>206</v>
      </c>
    </row>
    <row r="736" spans="1:9" x14ac:dyDescent="0.2">
      <c r="A736" s="92" t="s">
        <v>208</v>
      </c>
      <c r="B736" s="93" t="s">
        <v>202</v>
      </c>
      <c r="C736" s="94" t="s">
        <v>30</v>
      </c>
      <c r="D736" s="94">
        <v>60</v>
      </c>
      <c r="E736" s="95">
        <v>7</v>
      </c>
      <c r="F736" s="96">
        <v>0.81</v>
      </c>
      <c r="G736" s="96">
        <v>718</v>
      </c>
      <c r="H736" s="97">
        <f t="shared" si="23"/>
        <v>0.22855304200000001</v>
      </c>
      <c r="I736" s="92" t="s">
        <v>206</v>
      </c>
    </row>
    <row r="737" spans="1:9" x14ac:dyDescent="0.2">
      <c r="A737" s="92" t="s">
        <v>208</v>
      </c>
      <c r="B737" s="93" t="s">
        <v>202</v>
      </c>
      <c r="C737" s="94" t="s">
        <v>30</v>
      </c>
      <c r="D737" s="94">
        <v>60</v>
      </c>
      <c r="E737" s="95">
        <v>10</v>
      </c>
      <c r="F737" s="96">
        <v>0.9</v>
      </c>
      <c r="G737" s="96">
        <v>839</v>
      </c>
      <c r="H737" s="97">
        <f t="shared" si="23"/>
        <v>0.26706964100000002</v>
      </c>
      <c r="I737" s="92" t="s">
        <v>206</v>
      </c>
    </row>
    <row r="738" spans="1:9" x14ac:dyDescent="0.2">
      <c r="A738" s="73" t="s">
        <v>203</v>
      </c>
      <c r="B738" s="49" t="s">
        <v>21</v>
      </c>
      <c r="C738" s="70" t="s">
        <v>30</v>
      </c>
      <c r="D738" s="70">
        <v>60</v>
      </c>
      <c r="E738" s="71">
        <v>0</v>
      </c>
      <c r="F738" s="98">
        <v>0</v>
      </c>
      <c r="G738" s="98">
        <v>77</v>
      </c>
      <c r="H738" s="54">
        <f t="shared" si="23"/>
        <v>2.4510563000000003E-2</v>
      </c>
      <c r="I738" s="73" t="s">
        <v>206</v>
      </c>
    </row>
    <row r="739" spans="1:9" x14ac:dyDescent="0.2">
      <c r="A739" s="73" t="s">
        <v>203</v>
      </c>
      <c r="B739" s="49" t="s">
        <v>21</v>
      </c>
      <c r="C739" s="70" t="s">
        <v>30</v>
      </c>
      <c r="D739" s="70">
        <v>60</v>
      </c>
      <c r="E739" s="71">
        <v>1</v>
      </c>
      <c r="F739" s="98">
        <v>0.14000000000000001</v>
      </c>
      <c r="G739" s="98">
        <v>95</v>
      </c>
      <c r="H739" s="54">
        <f t="shared" si="23"/>
        <v>3.0240305000000002E-2</v>
      </c>
      <c r="I739" s="73" t="s">
        <v>206</v>
      </c>
    </row>
    <row r="740" spans="1:9" x14ac:dyDescent="0.2">
      <c r="A740" s="73" t="s">
        <v>205</v>
      </c>
      <c r="B740" s="49" t="s">
        <v>21</v>
      </c>
      <c r="C740" s="70" t="s">
        <v>30</v>
      </c>
      <c r="D740" s="70">
        <v>60</v>
      </c>
      <c r="E740" s="71">
        <v>2</v>
      </c>
      <c r="F740" s="98">
        <v>0.28000000000000003</v>
      </c>
      <c r="G740" s="98">
        <v>195</v>
      </c>
      <c r="H740" s="54">
        <f t="shared" si="23"/>
        <v>6.2072205000000005E-2</v>
      </c>
      <c r="I740" s="73" t="s">
        <v>206</v>
      </c>
    </row>
    <row r="741" spans="1:9" x14ac:dyDescent="0.2">
      <c r="A741" s="73" t="s">
        <v>205</v>
      </c>
      <c r="B741" s="49" t="s">
        <v>21</v>
      </c>
      <c r="C741" s="70" t="s">
        <v>30</v>
      </c>
      <c r="D741" s="70">
        <v>60</v>
      </c>
      <c r="E741" s="71">
        <v>3</v>
      </c>
      <c r="F741" s="98">
        <v>0.42</v>
      </c>
      <c r="G741" s="98">
        <v>336</v>
      </c>
      <c r="H741" s="54">
        <f t="shared" si="23"/>
        <v>0.10695518400000001</v>
      </c>
      <c r="I741" s="73" t="s">
        <v>206</v>
      </c>
    </row>
    <row r="742" spans="1:9" x14ac:dyDescent="0.2">
      <c r="A742" s="73" t="s">
        <v>205</v>
      </c>
      <c r="B742" s="49" t="s">
        <v>21</v>
      </c>
      <c r="C742" s="70" t="s">
        <v>30</v>
      </c>
      <c r="D742" s="70">
        <v>60</v>
      </c>
      <c r="E742" s="71">
        <v>4</v>
      </c>
      <c r="F742" s="98">
        <v>0.54</v>
      </c>
      <c r="G742" s="98">
        <v>414</v>
      </c>
      <c r="H742" s="54">
        <f t="shared" si="23"/>
        <v>0.13178406600000001</v>
      </c>
      <c r="I742" s="73" t="s">
        <v>206</v>
      </c>
    </row>
    <row r="743" spans="1:9" x14ac:dyDescent="0.2">
      <c r="A743" s="73" t="s">
        <v>205</v>
      </c>
      <c r="B743" s="49" t="s">
        <v>21</v>
      </c>
      <c r="C743" s="70" t="s">
        <v>30</v>
      </c>
      <c r="D743" s="70">
        <v>60</v>
      </c>
      <c r="E743" s="71">
        <v>5</v>
      </c>
      <c r="F743" s="98">
        <v>0.66</v>
      </c>
      <c r="G743" s="98">
        <v>496</v>
      </c>
      <c r="H743" s="54">
        <f t="shared" si="23"/>
        <v>0.15788622400000002</v>
      </c>
      <c r="I743" s="73" t="s">
        <v>206</v>
      </c>
    </row>
    <row r="744" spans="1:9" x14ac:dyDescent="0.2">
      <c r="A744" s="73" t="s">
        <v>205</v>
      </c>
      <c r="B744" s="49" t="s">
        <v>21</v>
      </c>
      <c r="C744" s="70" t="s">
        <v>30</v>
      </c>
      <c r="D744" s="70">
        <v>60</v>
      </c>
      <c r="E744" s="71">
        <v>7</v>
      </c>
      <c r="F744" s="98">
        <v>0.81</v>
      </c>
      <c r="G744" s="98">
        <v>626</v>
      </c>
      <c r="H744" s="54">
        <f t="shared" si="23"/>
        <v>0.19926769400000002</v>
      </c>
      <c r="I744" s="73" t="s">
        <v>206</v>
      </c>
    </row>
    <row r="745" spans="1:9" x14ac:dyDescent="0.2">
      <c r="A745" s="73" t="s">
        <v>205</v>
      </c>
      <c r="B745" s="49" t="s">
        <v>21</v>
      </c>
      <c r="C745" s="70" t="s">
        <v>30</v>
      </c>
      <c r="D745" s="70">
        <v>60</v>
      </c>
      <c r="E745" s="71">
        <v>10</v>
      </c>
      <c r="F745" s="98">
        <v>0.92</v>
      </c>
      <c r="G745" s="98">
        <v>708</v>
      </c>
      <c r="H745" s="54">
        <f t="shared" si="23"/>
        <v>0.22536985200000001</v>
      </c>
      <c r="I745" s="73" t="s">
        <v>206</v>
      </c>
    </row>
    <row r="746" spans="1:9" x14ac:dyDescent="0.2">
      <c r="A746" s="111" t="s">
        <v>209</v>
      </c>
      <c r="B746" s="112" t="s">
        <v>21</v>
      </c>
      <c r="C746" s="113" t="s">
        <v>30</v>
      </c>
      <c r="D746" s="113">
        <v>60</v>
      </c>
      <c r="E746" s="114">
        <v>0</v>
      </c>
      <c r="F746" s="115">
        <v>0</v>
      </c>
      <c r="G746" s="115">
        <v>116</v>
      </c>
      <c r="H746" s="116">
        <f t="shared" si="23"/>
        <v>3.6925004000000004E-2</v>
      </c>
      <c r="I746" s="111" t="s">
        <v>206</v>
      </c>
    </row>
    <row r="747" spans="1:9" x14ac:dyDescent="0.2">
      <c r="A747" s="111" t="s">
        <v>209</v>
      </c>
      <c r="B747" s="112" t="s">
        <v>21</v>
      </c>
      <c r="C747" s="113" t="s">
        <v>30</v>
      </c>
      <c r="D747" s="113">
        <v>60</v>
      </c>
      <c r="E747" s="114">
        <v>1</v>
      </c>
      <c r="F747" s="115">
        <v>0.14000000000000001</v>
      </c>
      <c r="G747" s="115">
        <v>175</v>
      </c>
      <c r="H747" s="116">
        <f t="shared" si="23"/>
        <v>5.5705825E-2</v>
      </c>
      <c r="I747" s="111" t="s">
        <v>206</v>
      </c>
    </row>
    <row r="748" spans="1:9" x14ac:dyDescent="0.2">
      <c r="A748" s="111" t="s">
        <v>209</v>
      </c>
      <c r="B748" s="112" t="s">
        <v>21</v>
      </c>
      <c r="C748" s="113" t="s">
        <v>30</v>
      </c>
      <c r="D748" s="113">
        <v>60</v>
      </c>
      <c r="E748" s="114">
        <v>2</v>
      </c>
      <c r="F748" s="115">
        <v>0.28000000000000003</v>
      </c>
      <c r="G748" s="115">
        <v>216</v>
      </c>
      <c r="H748" s="116">
        <f t="shared" si="23"/>
        <v>6.8756904000000008E-2</v>
      </c>
      <c r="I748" s="111" t="s">
        <v>206</v>
      </c>
    </row>
    <row r="749" spans="1:9" x14ac:dyDescent="0.2">
      <c r="A749" s="111" t="s">
        <v>209</v>
      </c>
      <c r="B749" s="112" t="s">
        <v>21</v>
      </c>
      <c r="C749" s="113" t="s">
        <v>30</v>
      </c>
      <c r="D749" s="113">
        <v>60</v>
      </c>
      <c r="E749" s="114">
        <v>3</v>
      </c>
      <c r="F749" s="115">
        <v>0.42</v>
      </c>
      <c r="G749" s="115">
        <v>337</v>
      </c>
      <c r="H749" s="116">
        <f t="shared" si="23"/>
        <v>0.10727350300000002</v>
      </c>
      <c r="I749" s="111" t="s">
        <v>206</v>
      </c>
    </row>
    <row r="750" spans="1:9" x14ac:dyDescent="0.2">
      <c r="A750" s="111" t="s">
        <v>209</v>
      </c>
      <c r="B750" s="112" t="s">
        <v>21</v>
      </c>
      <c r="C750" s="113" t="s">
        <v>30</v>
      </c>
      <c r="D750" s="113">
        <v>60</v>
      </c>
      <c r="E750" s="114">
        <v>4</v>
      </c>
      <c r="F750" s="115">
        <v>0.54</v>
      </c>
      <c r="G750" s="115">
        <v>477</v>
      </c>
      <c r="H750" s="116">
        <f t="shared" si="23"/>
        <v>0.151838163</v>
      </c>
      <c r="I750" s="111" t="s">
        <v>206</v>
      </c>
    </row>
    <row r="751" spans="1:9" x14ac:dyDescent="0.2">
      <c r="A751" s="111" t="s">
        <v>209</v>
      </c>
      <c r="B751" s="112" t="s">
        <v>21</v>
      </c>
      <c r="C751" s="113" t="s">
        <v>30</v>
      </c>
      <c r="D751" s="113">
        <v>60</v>
      </c>
      <c r="E751" s="114">
        <v>5</v>
      </c>
      <c r="F751" s="115">
        <v>0.66</v>
      </c>
      <c r="G751" s="115">
        <v>587</v>
      </c>
      <c r="H751" s="116">
        <f t="shared" si="23"/>
        <v>0.186853253</v>
      </c>
      <c r="I751" s="111" t="s">
        <v>206</v>
      </c>
    </row>
    <row r="752" spans="1:9" x14ac:dyDescent="0.2">
      <c r="A752" s="111" t="s">
        <v>209</v>
      </c>
      <c r="B752" s="112" t="s">
        <v>21</v>
      </c>
      <c r="C752" s="113" t="s">
        <v>30</v>
      </c>
      <c r="D752" s="113">
        <v>60</v>
      </c>
      <c r="E752" s="114">
        <v>7</v>
      </c>
      <c r="F752" s="115">
        <v>0.81</v>
      </c>
      <c r="G752" s="115">
        <v>739</v>
      </c>
      <c r="H752" s="116">
        <f t="shared" si="23"/>
        <v>0.235237741</v>
      </c>
      <c r="I752" s="111" t="s">
        <v>206</v>
      </c>
    </row>
    <row r="753" spans="1:9" x14ac:dyDescent="0.2">
      <c r="A753" s="111" t="s">
        <v>209</v>
      </c>
      <c r="B753" s="112" t="s">
        <v>21</v>
      </c>
      <c r="C753" s="113" t="s">
        <v>30</v>
      </c>
      <c r="D753" s="113">
        <v>60</v>
      </c>
      <c r="E753" s="114">
        <v>10</v>
      </c>
      <c r="F753" s="115">
        <v>0.91</v>
      </c>
      <c r="G753" s="115">
        <v>839</v>
      </c>
      <c r="H753" s="116">
        <f t="shared" si="23"/>
        <v>0.26706964100000002</v>
      </c>
      <c r="I753" s="111" t="s">
        <v>206</v>
      </c>
    </row>
    <row r="754" spans="1:9" x14ac:dyDescent="0.2">
      <c r="A754" s="117" t="s">
        <v>199</v>
      </c>
      <c r="B754" s="76" t="s">
        <v>200</v>
      </c>
      <c r="C754" s="118" t="s">
        <v>27</v>
      </c>
      <c r="D754" s="118">
        <v>60</v>
      </c>
      <c r="E754" s="119">
        <v>0</v>
      </c>
      <c r="F754" s="101">
        <v>0</v>
      </c>
      <c r="G754" s="101">
        <v>5</v>
      </c>
      <c r="H754" s="120">
        <f t="shared" ref="H754:H801" si="24">G754/1000*0.318319</f>
        <v>1.5915950000000001E-3</v>
      </c>
      <c r="I754" s="117" t="s">
        <v>213</v>
      </c>
    </row>
    <row r="755" spans="1:9" x14ac:dyDescent="0.2">
      <c r="A755" s="117" t="s">
        <v>199</v>
      </c>
      <c r="B755" s="76" t="s">
        <v>200</v>
      </c>
      <c r="C755" s="118" t="s">
        <v>30</v>
      </c>
      <c r="D755" s="118">
        <v>60</v>
      </c>
      <c r="E755" s="119">
        <v>1</v>
      </c>
      <c r="F755" s="101">
        <v>0.14000000000000001</v>
      </c>
      <c r="G755" s="101">
        <v>35</v>
      </c>
      <c r="H755" s="120">
        <f t="shared" si="24"/>
        <v>1.1141165000000001E-2</v>
      </c>
      <c r="I755" s="117" t="s">
        <v>213</v>
      </c>
    </row>
    <row r="756" spans="1:9" x14ac:dyDescent="0.2">
      <c r="A756" s="117" t="s">
        <v>207</v>
      </c>
      <c r="B756" s="76" t="s">
        <v>200</v>
      </c>
      <c r="C756" s="118" t="s">
        <v>30</v>
      </c>
      <c r="D756" s="118">
        <v>60</v>
      </c>
      <c r="E756" s="119">
        <v>2</v>
      </c>
      <c r="F756" s="101">
        <v>0.27</v>
      </c>
      <c r="G756" s="101">
        <v>145</v>
      </c>
      <c r="H756" s="120">
        <f t="shared" si="24"/>
        <v>4.6156255E-2</v>
      </c>
      <c r="I756" s="117" t="s">
        <v>214</v>
      </c>
    </row>
    <row r="757" spans="1:9" x14ac:dyDescent="0.2">
      <c r="A757" s="117" t="s">
        <v>207</v>
      </c>
      <c r="B757" s="76" t="s">
        <v>200</v>
      </c>
      <c r="C757" s="118" t="s">
        <v>30</v>
      </c>
      <c r="D757" s="118">
        <v>60</v>
      </c>
      <c r="E757" s="119">
        <v>3</v>
      </c>
      <c r="F757" s="101">
        <v>0.4</v>
      </c>
      <c r="G757" s="101">
        <v>226</v>
      </c>
      <c r="H757" s="120">
        <f t="shared" si="24"/>
        <v>7.194009400000001E-2</v>
      </c>
      <c r="I757" s="117" t="s">
        <v>214</v>
      </c>
    </row>
    <row r="758" spans="1:9" x14ac:dyDescent="0.2">
      <c r="A758" s="117" t="s">
        <v>207</v>
      </c>
      <c r="B758" s="76" t="s">
        <v>200</v>
      </c>
      <c r="C758" s="118" t="s">
        <v>30</v>
      </c>
      <c r="D758" s="118">
        <v>60</v>
      </c>
      <c r="E758" s="119">
        <v>4</v>
      </c>
      <c r="F758" s="101">
        <v>0.53</v>
      </c>
      <c r="G758" s="101">
        <v>294</v>
      </c>
      <c r="H758" s="120">
        <f t="shared" si="24"/>
        <v>9.3585786000000004E-2</v>
      </c>
      <c r="I758" s="117" t="s">
        <v>214</v>
      </c>
    </row>
    <row r="759" spans="1:9" x14ac:dyDescent="0.2">
      <c r="A759" s="117" t="s">
        <v>207</v>
      </c>
      <c r="B759" s="76" t="s">
        <v>200</v>
      </c>
      <c r="C759" s="118" t="s">
        <v>30</v>
      </c>
      <c r="D759" s="118">
        <v>60</v>
      </c>
      <c r="E759" s="119">
        <v>5</v>
      </c>
      <c r="F759" s="101">
        <v>0.65</v>
      </c>
      <c r="G759" s="101">
        <v>356</v>
      </c>
      <c r="H759" s="120">
        <f t="shared" si="24"/>
        <v>0.113321564</v>
      </c>
      <c r="I759" s="117" t="s">
        <v>214</v>
      </c>
    </row>
    <row r="760" spans="1:9" x14ac:dyDescent="0.2">
      <c r="A760" s="117" t="s">
        <v>207</v>
      </c>
      <c r="B760" s="76" t="s">
        <v>200</v>
      </c>
      <c r="C760" s="118" t="s">
        <v>30</v>
      </c>
      <c r="D760" s="118">
        <v>60</v>
      </c>
      <c r="E760" s="119">
        <v>7</v>
      </c>
      <c r="F760" s="101">
        <v>0.8</v>
      </c>
      <c r="G760" s="101">
        <v>424</v>
      </c>
      <c r="H760" s="120">
        <f t="shared" si="24"/>
        <v>0.13496725600000001</v>
      </c>
      <c r="I760" s="117" t="s">
        <v>214</v>
      </c>
    </row>
    <row r="761" spans="1:9" x14ac:dyDescent="0.2">
      <c r="A761" s="117" t="s">
        <v>207</v>
      </c>
      <c r="B761" s="76" t="s">
        <v>200</v>
      </c>
      <c r="C761" s="118" t="s">
        <v>30</v>
      </c>
      <c r="D761" s="118">
        <v>60</v>
      </c>
      <c r="E761" s="119">
        <v>10</v>
      </c>
      <c r="F761" s="101">
        <v>0.9</v>
      </c>
      <c r="G761" s="101">
        <v>456</v>
      </c>
      <c r="H761" s="120">
        <f t="shared" si="24"/>
        <v>0.14515346400000001</v>
      </c>
      <c r="I761" s="117" t="s">
        <v>214</v>
      </c>
    </row>
    <row r="762" spans="1:9" x14ac:dyDescent="0.2">
      <c r="A762" s="121" t="s">
        <v>189</v>
      </c>
      <c r="B762" s="93" t="s">
        <v>90</v>
      </c>
      <c r="C762" s="122" t="s">
        <v>27</v>
      </c>
      <c r="D762" s="122">
        <v>60</v>
      </c>
      <c r="E762" s="123">
        <v>0</v>
      </c>
      <c r="F762" s="96">
        <v>0</v>
      </c>
      <c r="G762" s="96">
        <v>55</v>
      </c>
      <c r="H762" s="124">
        <f t="shared" si="24"/>
        <v>1.7507545000000003E-2</v>
      </c>
      <c r="I762" s="121" t="s">
        <v>214</v>
      </c>
    </row>
    <row r="763" spans="1:9" x14ac:dyDescent="0.2">
      <c r="A763" s="121" t="s">
        <v>189</v>
      </c>
      <c r="B763" s="93" t="s">
        <v>90</v>
      </c>
      <c r="C763" s="122" t="s">
        <v>30</v>
      </c>
      <c r="D763" s="122">
        <v>60</v>
      </c>
      <c r="E763" s="123">
        <v>1</v>
      </c>
      <c r="F763" s="96">
        <v>0.14000000000000001</v>
      </c>
      <c r="G763" s="96">
        <v>88</v>
      </c>
      <c r="H763" s="124">
        <f t="shared" si="24"/>
        <v>2.8012071999999999E-2</v>
      </c>
      <c r="I763" s="121" t="s">
        <v>214</v>
      </c>
    </row>
    <row r="764" spans="1:9" x14ac:dyDescent="0.2">
      <c r="A764" s="121" t="s">
        <v>83</v>
      </c>
      <c r="B764" s="93" t="s">
        <v>90</v>
      </c>
      <c r="C764" s="122" t="s">
        <v>30</v>
      </c>
      <c r="D764" s="122">
        <v>60</v>
      </c>
      <c r="E764" s="123">
        <v>2</v>
      </c>
      <c r="F764" s="96">
        <v>0.28000000000000003</v>
      </c>
      <c r="G764" s="96">
        <v>197</v>
      </c>
      <c r="H764" s="124">
        <f t="shared" si="24"/>
        <v>6.2708843E-2</v>
      </c>
      <c r="I764" s="121" t="s">
        <v>214</v>
      </c>
    </row>
    <row r="765" spans="1:9" x14ac:dyDescent="0.2">
      <c r="A765" s="121" t="s">
        <v>83</v>
      </c>
      <c r="B765" s="93" t="s">
        <v>90</v>
      </c>
      <c r="C765" s="122" t="s">
        <v>30</v>
      </c>
      <c r="D765" s="122">
        <v>60</v>
      </c>
      <c r="E765" s="123">
        <v>3</v>
      </c>
      <c r="F765" s="96">
        <v>0.41</v>
      </c>
      <c r="G765" s="96">
        <v>286</v>
      </c>
      <c r="H765" s="124">
        <f t="shared" si="24"/>
        <v>9.1039233999999997E-2</v>
      </c>
      <c r="I765" s="121" t="s">
        <v>214</v>
      </c>
    </row>
    <row r="766" spans="1:9" x14ac:dyDescent="0.2">
      <c r="A766" s="121" t="s">
        <v>83</v>
      </c>
      <c r="B766" s="93" t="s">
        <v>91</v>
      </c>
      <c r="C766" s="122" t="s">
        <v>30</v>
      </c>
      <c r="D766" s="122">
        <v>60</v>
      </c>
      <c r="E766" s="123">
        <v>4</v>
      </c>
      <c r="F766" s="96">
        <v>0.53</v>
      </c>
      <c r="G766" s="96">
        <v>386</v>
      </c>
      <c r="H766" s="124">
        <f t="shared" si="24"/>
        <v>0.12287113400000001</v>
      </c>
      <c r="I766" s="121" t="s">
        <v>214</v>
      </c>
    </row>
    <row r="767" spans="1:9" x14ac:dyDescent="0.2">
      <c r="A767" s="121" t="s">
        <v>83</v>
      </c>
      <c r="B767" s="93" t="s">
        <v>90</v>
      </c>
      <c r="C767" s="122" t="s">
        <v>30</v>
      </c>
      <c r="D767" s="122">
        <v>60</v>
      </c>
      <c r="E767" s="123">
        <v>5</v>
      </c>
      <c r="F767" s="96">
        <v>0.65</v>
      </c>
      <c r="G767" s="96">
        <v>488</v>
      </c>
      <c r="H767" s="124">
        <f t="shared" si="24"/>
        <v>0.15533967200000001</v>
      </c>
      <c r="I767" s="121" t="s">
        <v>214</v>
      </c>
    </row>
    <row r="768" spans="1:9" x14ac:dyDescent="0.2">
      <c r="A768" s="121" t="s">
        <v>83</v>
      </c>
      <c r="B768" s="93" t="s">
        <v>90</v>
      </c>
      <c r="C768" s="122" t="s">
        <v>30</v>
      </c>
      <c r="D768" s="122">
        <v>60</v>
      </c>
      <c r="E768" s="123">
        <v>7</v>
      </c>
      <c r="F768" s="96">
        <v>0.8</v>
      </c>
      <c r="G768" s="96">
        <v>618</v>
      </c>
      <c r="H768" s="124">
        <f t="shared" si="24"/>
        <v>0.19672114200000002</v>
      </c>
      <c r="I768" s="121" t="s">
        <v>214</v>
      </c>
    </row>
    <row r="769" spans="1:9" x14ac:dyDescent="0.2">
      <c r="A769" s="121" t="s">
        <v>83</v>
      </c>
      <c r="B769" s="93" t="s">
        <v>90</v>
      </c>
      <c r="C769" s="122" t="s">
        <v>30</v>
      </c>
      <c r="D769" s="122">
        <v>60</v>
      </c>
      <c r="E769" s="123">
        <v>10</v>
      </c>
      <c r="F769" s="96">
        <v>0.9</v>
      </c>
      <c r="G769" s="96">
        <v>677</v>
      </c>
      <c r="H769" s="124">
        <f t="shared" si="24"/>
        <v>0.21550196300000002</v>
      </c>
      <c r="I769" s="121" t="s">
        <v>214</v>
      </c>
    </row>
    <row r="770" spans="1:9" x14ac:dyDescent="0.2">
      <c r="A770" s="125" t="s">
        <v>95</v>
      </c>
      <c r="B770" s="49" t="s">
        <v>187</v>
      </c>
      <c r="C770" s="126" t="s">
        <v>27</v>
      </c>
      <c r="D770" s="126">
        <v>60</v>
      </c>
      <c r="E770" s="127">
        <v>0</v>
      </c>
      <c r="F770" s="98">
        <v>0</v>
      </c>
      <c r="G770" s="98">
        <v>17</v>
      </c>
      <c r="H770" s="128">
        <f t="shared" si="24"/>
        <v>5.4114230000000003E-3</v>
      </c>
      <c r="I770" s="125" t="s">
        <v>214</v>
      </c>
    </row>
    <row r="771" spans="1:9" x14ac:dyDescent="0.2">
      <c r="A771" s="125" t="s">
        <v>95</v>
      </c>
      <c r="B771" s="49" t="s">
        <v>187</v>
      </c>
      <c r="C771" s="126" t="s">
        <v>30</v>
      </c>
      <c r="D771" s="126">
        <v>60</v>
      </c>
      <c r="E771" s="127">
        <v>1</v>
      </c>
      <c r="F771" s="98">
        <v>0.14000000000000001</v>
      </c>
      <c r="G771" s="98">
        <v>47</v>
      </c>
      <c r="H771" s="128">
        <f t="shared" si="24"/>
        <v>1.4960993000000001E-2</v>
      </c>
      <c r="I771" s="125" t="s">
        <v>214</v>
      </c>
    </row>
    <row r="772" spans="1:9" x14ac:dyDescent="0.2">
      <c r="A772" s="125" t="s">
        <v>188</v>
      </c>
      <c r="B772" s="49" t="s">
        <v>187</v>
      </c>
      <c r="C772" s="126" t="s">
        <v>30</v>
      </c>
      <c r="D772" s="126">
        <v>60</v>
      </c>
      <c r="E772" s="127">
        <v>2</v>
      </c>
      <c r="F772" s="98">
        <v>0.27</v>
      </c>
      <c r="G772" s="98">
        <v>187</v>
      </c>
      <c r="H772" s="128">
        <f t="shared" si="24"/>
        <v>5.9525653000000005E-2</v>
      </c>
      <c r="I772" s="125" t="s">
        <v>214</v>
      </c>
    </row>
    <row r="773" spans="1:9" x14ac:dyDescent="0.2">
      <c r="A773" s="125" t="s">
        <v>188</v>
      </c>
      <c r="B773" s="49" t="s">
        <v>187</v>
      </c>
      <c r="C773" s="126" t="s">
        <v>30</v>
      </c>
      <c r="D773" s="126">
        <v>60</v>
      </c>
      <c r="E773" s="127">
        <v>3</v>
      </c>
      <c r="F773" s="98">
        <v>0.4</v>
      </c>
      <c r="G773" s="98">
        <v>276</v>
      </c>
      <c r="H773" s="128">
        <f t="shared" si="24"/>
        <v>8.7856044000000008E-2</v>
      </c>
      <c r="I773" s="125" t="s">
        <v>214</v>
      </c>
    </row>
    <row r="774" spans="1:9" x14ac:dyDescent="0.2">
      <c r="A774" s="125" t="s">
        <v>188</v>
      </c>
      <c r="B774" s="49" t="s">
        <v>187</v>
      </c>
      <c r="C774" s="126" t="s">
        <v>30</v>
      </c>
      <c r="D774" s="126">
        <v>60</v>
      </c>
      <c r="E774" s="127">
        <v>4</v>
      </c>
      <c r="F774" s="98">
        <v>0.53</v>
      </c>
      <c r="G774" s="98">
        <v>357</v>
      </c>
      <c r="H774" s="128">
        <f t="shared" si="24"/>
        <v>0.113639883</v>
      </c>
      <c r="I774" s="125" t="s">
        <v>214</v>
      </c>
    </row>
    <row r="775" spans="1:9" x14ac:dyDescent="0.2">
      <c r="A775" s="125" t="s">
        <v>188</v>
      </c>
      <c r="B775" s="49" t="s">
        <v>187</v>
      </c>
      <c r="C775" s="126" t="s">
        <v>30</v>
      </c>
      <c r="D775" s="126">
        <v>60</v>
      </c>
      <c r="E775" s="127">
        <v>5</v>
      </c>
      <c r="F775" s="98">
        <v>0.65</v>
      </c>
      <c r="G775" s="98">
        <v>416</v>
      </c>
      <c r="H775" s="128">
        <f t="shared" si="24"/>
        <v>0.132420704</v>
      </c>
      <c r="I775" s="125" t="s">
        <v>214</v>
      </c>
    </row>
    <row r="776" spans="1:9" x14ac:dyDescent="0.2">
      <c r="A776" s="125" t="s">
        <v>188</v>
      </c>
      <c r="B776" s="49" t="s">
        <v>187</v>
      </c>
      <c r="C776" s="126" t="s">
        <v>30</v>
      </c>
      <c r="D776" s="126">
        <v>60</v>
      </c>
      <c r="E776" s="127">
        <v>7</v>
      </c>
      <c r="F776" s="98">
        <v>0.8</v>
      </c>
      <c r="G776" s="98">
        <v>516</v>
      </c>
      <c r="H776" s="128">
        <f t="shared" si="24"/>
        <v>0.16425260400000002</v>
      </c>
      <c r="I776" s="125" t="s">
        <v>214</v>
      </c>
    </row>
    <row r="777" spans="1:9" x14ac:dyDescent="0.2">
      <c r="A777" s="125" t="s">
        <v>188</v>
      </c>
      <c r="B777" s="49" t="s">
        <v>187</v>
      </c>
      <c r="C777" s="126" t="s">
        <v>30</v>
      </c>
      <c r="D777" s="126">
        <v>60</v>
      </c>
      <c r="E777" s="127">
        <v>10</v>
      </c>
      <c r="F777" s="98">
        <v>0.9</v>
      </c>
      <c r="G777" s="98">
        <v>588</v>
      </c>
      <c r="H777" s="128">
        <f t="shared" si="24"/>
        <v>0.18717157200000001</v>
      </c>
      <c r="I777" s="125" t="s">
        <v>214</v>
      </c>
    </row>
    <row r="778" spans="1:9" x14ac:dyDescent="0.2">
      <c r="A778" s="111" t="s">
        <v>105</v>
      </c>
      <c r="B778" s="41" t="s">
        <v>215</v>
      </c>
      <c r="C778" s="113" t="s">
        <v>27</v>
      </c>
      <c r="D778" s="113">
        <v>60</v>
      </c>
      <c r="E778" s="114">
        <v>0</v>
      </c>
      <c r="F778" s="99">
        <v>0</v>
      </c>
      <c r="G778" s="99">
        <v>-42</v>
      </c>
      <c r="H778" s="116">
        <f t="shared" si="24"/>
        <v>-1.3369398000000001E-2</v>
      </c>
      <c r="I778" s="111" t="s">
        <v>214</v>
      </c>
    </row>
    <row r="779" spans="1:9" x14ac:dyDescent="0.2">
      <c r="A779" s="111" t="s">
        <v>105</v>
      </c>
      <c r="B779" s="41" t="s">
        <v>215</v>
      </c>
      <c r="C779" s="113" t="s">
        <v>30</v>
      </c>
      <c r="D779" s="113">
        <v>60</v>
      </c>
      <c r="E779" s="114">
        <v>1</v>
      </c>
      <c r="F779" s="99">
        <v>0.14000000000000001</v>
      </c>
      <c r="G779" s="99">
        <v>-32</v>
      </c>
      <c r="H779" s="116">
        <f t="shared" si="24"/>
        <v>-1.0186208E-2</v>
      </c>
      <c r="I779" s="111" t="s">
        <v>214</v>
      </c>
    </row>
    <row r="780" spans="1:9" x14ac:dyDescent="0.2">
      <c r="A780" s="111" t="s">
        <v>98</v>
      </c>
      <c r="B780" s="41" t="s">
        <v>215</v>
      </c>
      <c r="C780" s="113" t="s">
        <v>30</v>
      </c>
      <c r="D780" s="113">
        <v>60</v>
      </c>
      <c r="E780" s="114">
        <v>2</v>
      </c>
      <c r="F780" s="99">
        <v>0.28000000000000003</v>
      </c>
      <c r="G780" s="99">
        <v>67</v>
      </c>
      <c r="H780" s="116">
        <f t="shared" si="24"/>
        <v>2.1327373000000004E-2</v>
      </c>
      <c r="I780" s="111" t="s">
        <v>214</v>
      </c>
    </row>
    <row r="781" spans="1:9" x14ac:dyDescent="0.2">
      <c r="A781" s="111" t="s">
        <v>98</v>
      </c>
      <c r="B781" s="41" t="s">
        <v>215</v>
      </c>
      <c r="C781" s="113" t="s">
        <v>30</v>
      </c>
      <c r="D781" s="113">
        <v>60</v>
      </c>
      <c r="E781" s="114">
        <v>3</v>
      </c>
      <c r="F781" s="99">
        <v>0.41</v>
      </c>
      <c r="G781" s="99">
        <v>328</v>
      </c>
      <c r="H781" s="116">
        <f t="shared" si="24"/>
        <v>0.10440863200000002</v>
      </c>
      <c r="I781" s="111" t="s">
        <v>214</v>
      </c>
    </row>
    <row r="782" spans="1:9" x14ac:dyDescent="0.2">
      <c r="A782" s="111" t="s">
        <v>98</v>
      </c>
      <c r="B782" s="41" t="s">
        <v>215</v>
      </c>
      <c r="C782" s="113" t="s">
        <v>30</v>
      </c>
      <c r="D782" s="113">
        <v>60</v>
      </c>
      <c r="E782" s="114">
        <v>4</v>
      </c>
      <c r="F782" s="99">
        <v>0.54</v>
      </c>
      <c r="G782" s="99">
        <v>500</v>
      </c>
      <c r="H782" s="116">
        <f t="shared" si="24"/>
        <v>0.15915950000000001</v>
      </c>
      <c r="I782" s="111" t="s">
        <v>214</v>
      </c>
    </row>
    <row r="783" spans="1:9" x14ac:dyDescent="0.2">
      <c r="A783" s="111" t="s">
        <v>98</v>
      </c>
      <c r="B783" s="41" t="s">
        <v>215</v>
      </c>
      <c r="C783" s="113" t="s">
        <v>30</v>
      </c>
      <c r="D783" s="113">
        <v>60</v>
      </c>
      <c r="E783" s="114">
        <v>5</v>
      </c>
      <c r="F783" s="99">
        <v>0.65</v>
      </c>
      <c r="G783" s="99">
        <v>628</v>
      </c>
      <c r="H783" s="116">
        <f t="shared" si="24"/>
        <v>0.19990433200000002</v>
      </c>
      <c r="I783" s="111" t="s">
        <v>214</v>
      </c>
    </row>
    <row r="784" spans="1:9" x14ac:dyDescent="0.2">
      <c r="A784" s="111" t="s">
        <v>98</v>
      </c>
      <c r="B784" s="41" t="s">
        <v>215</v>
      </c>
      <c r="C784" s="113" t="s">
        <v>30</v>
      </c>
      <c r="D784" s="113">
        <v>60</v>
      </c>
      <c r="E784" s="114">
        <v>7</v>
      </c>
      <c r="F784" s="99">
        <v>0.81</v>
      </c>
      <c r="G784" s="99">
        <v>871</v>
      </c>
      <c r="H784" s="116">
        <f t="shared" si="24"/>
        <v>0.277255849</v>
      </c>
      <c r="I784" s="111" t="s">
        <v>214</v>
      </c>
    </row>
    <row r="785" spans="1:9" x14ac:dyDescent="0.2">
      <c r="A785" s="111" t="s">
        <v>98</v>
      </c>
      <c r="B785" s="41" t="s">
        <v>215</v>
      </c>
      <c r="C785" s="113" t="s">
        <v>30</v>
      </c>
      <c r="D785" s="113">
        <v>60</v>
      </c>
      <c r="E785" s="114">
        <v>10</v>
      </c>
      <c r="F785" s="99">
        <v>0.91</v>
      </c>
      <c r="G785" s="99">
        <v>1060</v>
      </c>
      <c r="H785" s="116">
        <f t="shared" si="24"/>
        <v>0.33741814000000003</v>
      </c>
      <c r="I785" s="111" t="s">
        <v>214</v>
      </c>
    </row>
    <row r="786" spans="1:9" x14ac:dyDescent="0.2">
      <c r="A786" s="88" t="s">
        <v>107</v>
      </c>
      <c r="B786" s="13" t="s">
        <v>106</v>
      </c>
      <c r="C786" s="89" t="s">
        <v>27</v>
      </c>
      <c r="D786" s="89">
        <v>60</v>
      </c>
      <c r="E786" s="90">
        <v>0</v>
      </c>
      <c r="F786" s="12">
        <v>0</v>
      </c>
      <c r="G786" s="12">
        <v>-10</v>
      </c>
      <c r="H786" s="16">
        <f t="shared" si="24"/>
        <v>-3.1831900000000002E-3</v>
      </c>
      <c r="I786" s="88" t="s">
        <v>214</v>
      </c>
    </row>
    <row r="787" spans="1:9" x14ac:dyDescent="0.2">
      <c r="A787" s="88" t="s">
        <v>107</v>
      </c>
      <c r="B787" s="13" t="s">
        <v>106</v>
      </c>
      <c r="C787" s="89" t="s">
        <v>30</v>
      </c>
      <c r="D787" s="89">
        <v>60</v>
      </c>
      <c r="E787" s="90">
        <v>1</v>
      </c>
      <c r="F787" s="12">
        <v>0.14000000000000001</v>
      </c>
      <c r="G787" s="12">
        <v>38</v>
      </c>
      <c r="H787" s="16">
        <f t="shared" si="24"/>
        <v>1.2096122000000001E-2</v>
      </c>
      <c r="I787" s="88" t="s">
        <v>214</v>
      </c>
    </row>
    <row r="788" spans="1:9" x14ac:dyDescent="0.2">
      <c r="A788" s="88" t="s">
        <v>99</v>
      </c>
      <c r="B788" s="13" t="s">
        <v>106</v>
      </c>
      <c r="C788" s="89" t="s">
        <v>30</v>
      </c>
      <c r="D788" s="89">
        <v>60</v>
      </c>
      <c r="E788" s="90">
        <v>2</v>
      </c>
      <c r="F788" s="12">
        <v>0.28000000000000003</v>
      </c>
      <c r="G788" s="12">
        <v>167</v>
      </c>
      <c r="H788" s="16">
        <f t="shared" si="24"/>
        <v>5.3159273000000007E-2</v>
      </c>
      <c r="I788" s="88" t="s">
        <v>214</v>
      </c>
    </row>
    <row r="789" spans="1:9" x14ac:dyDescent="0.2">
      <c r="A789" s="88" t="s">
        <v>99</v>
      </c>
      <c r="B789" s="13" t="s">
        <v>106</v>
      </c>
      <c r="C789" s="89" t="s">
        <v>30</v>
      </c>
      <c r="D789" s="89">
        <v>60</v>
      </c>
      <c r="E789" s="90">
        <v>3</v>
      </c>
      <c r="F789" s="12">
        <v>0.42</v>
      </c>
      <c r="G789" s="12">
        <v>386</v>
      </c>
      <c r="H789" s="16">
        <f t="shared" si="24"/>
        <v>0.12287113400000001</v>
      </c>
      <c r="I789" s="88" t="s">
        <v>214</v>
      </c>
    </row>
    <row r="790" spans="1:9" x14ac:dyDescent="0.2">
      <c r="A790" s="88" t="s">
        <v>99</v>
      </c>
      <c r="B790" s="13" t="s">
        <v>106</v>
      </c>
      <c r="C790" s="89" t="s">
        <v>30</v>
      </c>
      <c r="D790" s="89">
        <v>60</v>
      </c>
      <c r="E790" s="90">
        <v>4</v>
      </c>
      <c r="F790" s="12">
        <v>0.54</v>
      </c>
      <c r="G790" s="12">
        <v>548</v>
      </c>
      <c r="H790" s="16">
        <f t="shared" si="24"/>
        <v>0.17443881200000003</v>
      </c>
      <c r="I790" s="88" t="s">
        <v>214</v>
      </c>
    </row>
    <row r="791" spans="1:9" x14ac:dyDescent="0.2">
      <c r="A791" s="88" t="s">
        <v>99</v>
      </c>
      <c r="B791" s="13" t="s">
        <v>106</v>
      </c>
      <c r="C791" s="89" t="s">
        <v>30</v>
      </c>
      <c r="D791" s="89">
        <v>60</v>
      </c>
      <c r="E791" s="90">
        <v>5</v>
      </c>
      <c r="F791" s="12">
        <v>0.66</v>
      </c>
      <c r="G791" s="12">
        <v>689</v>
      </c>
      <c r="H791" s="16">
        <f t="shared" si="24"/>
        <v>0.21932179099999999</v>
      </c>
      <c r="I791" s="88" t="s">
        <v>214</v>
      </c>
    </row>
    <row r="792" spans="1:9" x14ac:dyDescent="0.2">
      <c r="A792" s="88" t="s">
        <v>99</v>
      </c>
      <c r="B792" s="13" t="s">
        <v>106</v>
      </c>
      <c r="C792" s="89" t="s">
        <v>30</v>
      </c>
      <c r="D792" s="89">
        <v>60</v>
      </c>
      <c r="E792" s="90">
        <v>7</v>
      </c>
      <c r="F792" s="12">
        <v>0.82</v>
      </c>
      <c r="G792" s="12">
        <v>921</v>
      </c>
      <c r="H792" s="16">
        <f t="shared" si="24"/>
        <v>0.29317179900000001</v>
      </c>
      <c r="I792" s="88" t="s">
        <v>214</v>
      </c>
    </row>
    <row r="793" spans="1:9" x14ac:dyDescent="0.2">
      <c r="A793" s="88" t="s">
        <v>99</v>
      </c>
      <c r="B793" s="13" t="s">
        <v>106</v>
      </c>
      <c r="C793" s="89" t="s">
        <v>30</v>
      </c>
      <c r="D793" s="89">
        <v>60</v>
      </c>
      <c r="E793" s="90">
        <v>10</v>
      </c>
      <c r="F793" s="12">
        <v>0.92</v>
      </c>
      <c r="G793" s="12">
        <v>1041</v>
      </c>
      <c r="H793" s="16">
        <f t="shared" si="24"/>
        <v>0.33137007899999998</v>
      </c>
      <c r="I793" s="88" t="s">
        <v>214</v>
      </c>
    </row>
    <row r="794" spans="1:9" x14ac:dyDescent="0.2">
      <c r="A794" s="121" t="s">
        <v>111</v>
      </c>
      <c r="B794" s="93" t="s">
        <v>112</v>
      </c>
      <c r="C794" s="122" t="s">
        <v>27</v>
      </c>
      <c r="D794" s="122">
        <v>60</v>
      </c>
      <c r="E794" s="123">
        <v>0</v>
      </c>
      <c r="F794" s="96">
        <v>0</v>
      </c>
      <c r="G794" s="96">
        <v>97</v>
      </c>
      <c r="H794" s="124">
        <f t="shared" si="24"/>
        <v>3.0876943000000004E-2</v>
      </c>
      <c r="I794" s="121" t="s">
        <v>214</v>
      </c>
    </row>
    <row r="795" spans="1:9" x14ac:dyDescent="0.2">
      <c r="A795" s="121" t="s">
        <v>111</v>
      </c>
      <c r="B795" s="93" t="s">
        <v>112</v>
      </c>
      <c r="C795" s="122" t="s">
        <v>30</v>
      </c>
      <c r="D795" s="122">
        <v>60</v>
      </c>
      <c r="E795" s="123">
        <v>1</v>
      </c>
      <c r="F795" s="96">
        <v>0.14000000000000001</v>
      </c>
      <c r="G795" s="96">
        <v>148</v>
      </c>
      <c r="H795" s="124">
        <f t="shared" si="24"/>
        <v>4.7111212E-2</v>
      </c>
      <c r="I795" s="121" t="s">
        <v>214</v>
      </c>
    </row>
    <row r="796" spans="1:9" x14ac:dyDescent="0.2">
      <c r="A796" s="121" t="s">
        <v>101</v>
      </c>
      <c r="B796" s="93" t="s">
        <v>112</v>
      </c>
      <c r="C796" s="122" t="s">
        <v>30</v>
      </c>
      <c r="D796" s="122">
        <v>60</v>
      </c>
      <c r="E796" s="123">
        <v>2</v>
      </c>
      <c r="F796" s="96">
        <v>0.28000000000000003</v>
      </c>
      <c r="G796" s="96">
        <v>228</v>
      </c>
      <c r="H796" s="124">
        <f t="shared" si="24"/>
        <v>7.2576732000000005E-2</v>
      </c>
      <c r="I796" s="121" t="s">
        <v>214</v>
      </c>
    </row>
    <row r="797" spans="1:9" x14ac:dyDescent="0.2">
      <c r="A797" s="121" t="s">
        <v>101</v>
      </c>
      <c r="B797" s="93" t="s">
        <v>112</v>
      </c>
      <c r="C797" s="122" t="s">
        <v>30</v>
      </c>
      <c r="D797" s="122">
        <v>60</v>
      </c>
      <c r="E797" s="123">
        <v>3</v>
      </c>
      <c r="F797" s="96">
        <v>0.42</v>
      </c>
      <c r="G797" s="96">
        <v>328</v>
      </c>
      <c r="H797" s="124">
        <f t="shared" si="24"/>
        <v>0.10440863200000002</v>
      </c>
      <c r="I797" s="121" t="s">
        <v>214</v>
      </c>
    </row>
    <row r="798" spans="1:9" x14ac:dyDescent="0.2">
      <c r="A798" s="121" t="s">
        <v>101</v>
      </c>
      <c r="B798" s="93" t="s">
        <v>112</v>
      </c>
      <c r="C798" s="122" t="s">
        <v>30</v>
      </c>
      <c r="D798" s="122">
        <v>60</v>
      </c>
      <c r="E798" s="123">
        <v>4</v>
      </c>
      <c r="F798" s="96">
        <v>0.55000000000000004</v>
      </c>
      <c r="G798" s="96">
        <v>498</v>
      </c>
      <c r="H798" s="124">
        <f t="shared" si="24"/>
        <v>0.15852286200000001</v>
      </c>
      <c r="I798" s="121" t="s">
        <v>214</v>
      </c>
    </row>
    <row r="799" spans="1:9" x14ac:dyDescent="0.2">
      <c r="A799" s="121" t="s">
        <v>101</v>
      </c>
      <c r="B799" s="93" t="s">
        <v>112</v>
      </c>
      <c r="C799" s="122" t="s">
        <v>30</v>
      </c>
      <c r="D799" s="122">
        <v>60</v>
      </c>
      <c r="E799" s="123">
        <v>5</v>
      </c>
      <c r="F799" s="96">
        <v>0.67</v>
      </c>
      <c r="G799" s="96">
        <v>668</v>
      </c>
      <c r="H799" s="124">
        <f t="shared" si="24"/>
        <v>0.21263709200000003</v>
      </c>
      <c r="I799" s="121" t="s">
        <v>214</v>
      </c>
    </row>
    <row r="800" spans="1:9" x14ac:dyDescent="0.2">
      <c r="A800" s="121" t="s">
        <v>101</v>
      </c>
      <c r="B800" s="93" t="s">
        <v>112</v>
      </c>
      <c r="C800" s="122" t="s">
        <v>30</v>
      </c>
      <c r="D800" s="122">
        <v>60</v>
      </c>
      <c r="E800" s="123">
        <v>7</v>
      </c>
      <c r="F800" s="96">
        <v>0.82</v>
      </c>
      <c r="G800" s="96">
        <v>1030</v>
      </c>
      <c r="H800" s="124">
        <f t="shared" si="24"/>
        <v>0.32786857000000003</v>
      </c>
      <c r="I800" s="121" t="s">
        <v>214</v>
      </c>
    </row>
    <row r="801" spans="1:9" x14ac:dyDescent="0.2">
      <c r="A801" s="121" t="s">
        <v>101</v>
      </c>
      <c r="B801" s="93" t="s">
        <v>112</v>
      </c>
      <c r="C801" s="122" t="s">
        <v>30</v>
      </c>
      <c r="D801" s="122">
        <v>60</v>
      </c>
      <c r="E801" s="123">
        <v>10</v>
      </c>
      <c r="F801" s="96">
        <v>0.93</v>
      </c>
      <c r="G801" s="96">
        <v>1220</v>
      </c>
      <c r="H801" s="124">
        <f t="shared" si="24"/>
        <v>0.38834918000000002</v>
      </c>
      <c r="I801" s="121" t="s">
        <v>214</v>
      </c>
    </row>
    <row r="802" spans="1:9" x14ac:dyDescent="0.2">
      <c r="A802" s="125" t="s">
        <v>116</v>
      </c>
      <c r="B802" s="49" t="s">
        <v>114</v>
      </c>
      <c r="C802" s="126" t="s">
        <v>27</v>
      </c>
      <c r="D802" s="126">
        <v>60</v>
      </c>
      <c r="E802" s="127">
        <v>0</v>
      </c>
      <c r="F802" s="98">
        <v>0</v>
      </c>
      <c r="G802" s="98">
        <v>77</v>
      </c>
      <c r="H802" s="128">
        <f t="shared" ref="H802:H830" si="25">G802/1000*0.318319</f>
        <v>2.4510563000000003E-2</v>
      </c>
      <c r="I802" s="125" t="s">
        <v>214</v>
      </c>
    </row>
    <row r="803" spans="1:9" x14ac:dyDescent="0.2">
      <c r="A803" s="125" t="s">
        <v>116</v>
      </c>
      <c r="B803" s="49" t="s">
        <v>114</v>
      </c>
      <c r="C803" s="126" t="s">
        <v>30</v>
      </c>
      <c r="D803" s="126">
        <v>60</v>
      </c>
      <c r="E803" s="127">
        <v>1</v>
      </c>
      <c r="F803" s="98">
        <v>0.14000000000000001</v>
      </c>
      <c r="G803" s="98">
        <v>129</v>
      </c>
      <c r="H803" s="128">
        <f t="shared" si="25"/>
        <v>4.1063151000000006E-2</v>
      </c>
      <c r="I803" s="125" t="s">
        <v>214</v>
      </c>
    </row>
    <row r="804" spans="1:9" x14ac:dyDescent="0.2">
      <c r="A804" s="125" t="s">
        <v>116</v>
      </c>
      <c r="B804" s="49" t="s">
        <v>114</v>
      </c>
      <c r="C804" s="126" t="s">
        <v>30</v>
      </c>
      <c r="D804" s="126">
        <v>60</v>
      </c>
      <c r="E804" s="127">
        <v>2</v>
      </c>
      <c r="F804" s="98">
        <v>0.28000000000000003</v>
      </c>
      <c r="G804" s="98">
        <v>217</v>
      </c>
      <c r="H804" s="128">
        <f t="shared" si="25"/>
        <v>6.9075223000000005E-2</v>
      </c>
      <c r="I804" s="125" t="s">
        <v>214</v>
      </c>
    </row>
    <row r="805" spans="1:9" x14ac:dyDescent="0.2">
      <c r="A805" s="125" t="s">
        <v>116</v>
      </c>
      <c r="B805" s="49" t="s">
        <v>114</v>
      </c>
      <c r="C805" s="126" t="s">
        <v>30</v>
      </c>
      <c r="D805" s="126">
        <v>60</v>
      </c>
      <c r="E805" s="127">
        <v>3</v>
      </c>
      <c r="F805" s="98">
        <v>0.42</v>
      </c>
      <c r="G805" s="98">
        <v>316</v>
      </c>
      <c r="H805" s="128">
        <f t="shared" si="25"/>
        <v>0.100588804</v>
      </c>
      <c r="I805" s="125" t="s">
        <v>214</v>
      </c>
    </row>
    <row r="806" spans="1:9" x14ac:dyDescent="0.2">
      <c r="A806" s="125" t="s">
        <v>116</v>
      </c>
      <c r="B806" s="49" t="s">
        <v>114</v>
      </c>
      <c r="C806" s="126" t="s">
        <v>30</v>
      </c>
      <c r="D806" s="126">
        <v>60</v>
      </c>
      <c r="E806" s="127">
        <v>4</v>
      </c>
      <c r="F806" s="98">
        <v>0.55000000000000004</v>
      </c>
      <c r="G806" s="98">
        <v>498</v>
      </c>
      <c r="H806" s="128">
        <f t="shared" si="25"/>
        <v>0.15852286200000001</v>
      </c>
      <c r="I806" s="125" t="s">
        <v>214</v>
      </c>
    </row>
    <row r="807" spans="1:9" x14ac:dyDescent="0.2">
      <c r="A807" s="125" t="s">
        <v>116</v>
      </c>
      <c r="B807" s="49" t="s">
        <v>114</v>
      </c>
      <c r="C807" s="126" t="s">
        <v>30</v>
      </c>
      <c r="D807" s="126">
        <v>60</v>
      </c>
      <c r="E807" s="127">
        <v>5</v>
      </c>
      <c r="F807" s="98">
        <v>0.67</v>
      </c>
      <c r="G807" s="98">
        <v>647</v>
      </c>
      <c r="H807" s="128">
        <f t="shared" si="25"/>
        <v>0.20595239300000001</v>
      </c>
      <c r="I807" s="125" t="s">
        <v>214</v>
      </c>
    </row>
    <row r="808" spans="1:9" x14ac:dyDescent="0.2">
      <c r="A808" s="125" t="s">
        <v>116</v>
      </c>
      <c r="B808" s="49" t="s">
        <v>114</v>
      </c>
      <c r="C808" s="126" t="s">
        <v>30</v>
      </c>
      <c r="D808" s="126">
        <v>60</v>
      </c>
      <c r="E808" s="127">
        <v>7</v>
      </c>
      <c r="F808" s="98">
        <v>0.82</v>
      </c>
      <c r="G808" s="98">
        <v>998</v>
      </c>
      <c r="H808" s="128">
        <f t="shared" si="25"/>
        <v>0.317682362</v>
      </c>
      <c r="I808" s="125" t="s">
        <v>214</v>
      </c>
    </row>
    <row r="809" spans="1:9" x14ac:dyDescent="0.2">
      <c r="A809" s="125" t="s">
        <v>116</v>
      </c>
      <c r="B809" s="49" t="s">
        <v>114</v>
      </c>
      <c r="C809" s="126" t="s">
        <v>30</v>
      </c>
      <c r="D809" s="126">
        <v>60</v>
      </c>
      <c r="E809" s="127">
        <v>10</v>
      </c>
      <c r="F809" s="98">
        <v>0.93</v>
      </c>
      <c r="G809" s="98">
        <v>1318</v>
      </c>
      <c r="H809" s="128">
        <f t="shared" si="25"/>
        <v>0.41954444200000002</v>
      </c>
      <c r="I809" s="125" t="s">
        <v>214</v>
      </c>
    </row>
    <row r="810" spans="1:9" x14ac:dyDescent="0.2">
      <c r="A810" s="111" t="s">
        <v>174</v>
      </c>
      <c r="B810" s="41" t="s">
        <v>175</v>
      </c>
      <c r="C810" s="113" t="s">
        <v>27</v>
      </c>
      <c r="D810" s="113">
        <v>60</v>
      </c>
      <c r="E810" s="114">
        <v>0</v>
      </c>
      <c r="F810" s="99">
        <v>0</v>
      </c>
      <c r="G810" s="99">
        <v>-22</v>
      </c>
      <c r="H810" s="116">
        <f t="shared" si="25"/>
        <v>-7.0030179999999997E-3</v>
      </c>
      <c r="I810" s="111" t="s">
        <v>214</v>
      </c>
    </row>
    <row r="811" spans="1:9" x14ac:dyDescent="0.2">
      <c r="A811" s="111" t="s">
        <v>174</v>
      </c>
      <c r="B811" s="41" t="s">
        <v>175</v>
      </c>
      <c r="C811" s="113" t="s">
        <v>30</v>
      </c>
      <c r="D811" s="113">
        <v>60</v>
      </c>
      <c r="E811" s="114">
        <v>1</v>
      </c>
      <c r="F811" s="99">
        <v>0.14000000000000001</v>
      </c>
      <c r="G811" s="99">
        <v>9</v>
      </c>
      <c r="H811" s="116">
        <f t="shared" si="25"/>
        <v>2.8648709999999997E-3</v>
      </c>
      <c r="I811" s="111" t="s">
        <v>214</v>
      </c>
    </row>
    <row r="812" spans="1:9" x14ac:dyDescent="0.2">
      <c r="A812" s="111" t="s">
        <v>174</v>
      </c>
      <c r="B812" s="41" t="s">
        <v>175</v>
      </c>
      <c r="C812" s="113" t="s">
        <v>30</v>
      </c>
      <c r="D812" s="113">
        <v>60</v>
      </c>
      <c r="E812" s="114">
        <v>2</v>
      </c>
      <c r="F812" s="99">
        <v>0.28000000000000003</v>
      </c>
      <c r="G812" s="99">
        <v>138</v>
      </c>
      <c r="H812" s="116">
        <f t="shared" si="25"/>
        <v>4.3928022000000004E-2</v>
      </c>
      <c r="I812" s="111" t="s">
        <v>214</v>
      </c>
    </row>
    <row r="813" spans="1:9" x14ac:dyDescent="0.2">
      <c r="A813" s="111" t="s">
        <v>174</v>
      </c>
      <c r="B813" s="41" t="s">
        <v>175</v>
      </c>
      <c r="C813" s="113" t="s">
        <v>30</v>
      </c>
      <c r="D813" s="113">
        <v>60</v>
      </c>
      <c r="E813" s="114">
        <v>3</v>
      </c>
      <c r="F813" s="99">
        <v>0.41</v>
      </c>
      <c r="G813" s="99">
        <v>248</v>
      </c>
      <c r="H813" s="116">
        <f t="shared" si="25"/>
        <v>7.894311200000001E-2</v>
      </c>
      <c r="I813" s="111" t="s">
        <v>214</v>
      </c>
    </row>
    <row r="814" spans="1:9" x14ac:dyDescent="0.2">
      <c r="A814" s="111" t="s">
        <v>174</v>
      </c>
      <c r="B814" s="41" t="s">
        <v>175</v>
      </c>
      <c r="C814" s="113" t="s">
        <v>30</v>
      </c>
      <c r="D814" s="113">
        <v>60</v>
      </c>
      <c r="E814" s="114">
        <v>4</v>
      </c>
      <c r="F814" s="99">
        <v>0.54</v>
      </c>
      <c r="G814" s="99">
        <v>347</v>
      </c>
      <c r="H814" s="116">
        <f t="shared" si="25"/>
        <v>0.11045669299999999</v>
      </c>
      <c r="I814" s="111" t="s">
        <v>214</v>
      </c>
    </row>
    <row r="815" spans="1:9" x14ac:dyDescent="0.2">
      <c r="A815" s="111" t="s">
        <v>174</v>
      </c>
      <c r="B815" s="41" t="s">
        <v>175</v>
      </c>
      <c r="C815" s="113" t="s">
        <v>30</v>
      </c>
      <c r="D815" s="113">
        <v>60</v>
      </c>
      <c r="E815" s="114">
        <v>5</v>
      </c>
      <c r="F815" s="99">
        <v>0.65</v>
      </c>
      <c r="G815" s="99">
        <v>396</v>
      </c>
      <c r="H815" s="116">
        <f t="shared" si="25"/>
        <v>0.12605432400000002</v>
      </c>
      <c r="I815" s="111" t="s">
        <v>214</v>
      </c>
    </row>
    <row r="816" spans="1:9" x14ac:dyDescent="0.2">
      <c r="A816" s="111" t="s">
        <v>174</v>
      </c>
      <c r="B816" s="41" t="s">
        <v>175</v>
      </c>
      <c r="C816" s="113" t="s">
        <v>30</v>
      </c>
      <c r="D816" s="113">
        <v>60</v>
      </c>
      <c r="E816" s="114">
        <v>7</v>
      </c>
      <c r="F816" s="99">
        <v>0.81</v>
      </c>
      <c r="G816" s="99">
        <v>517</v>
      </c>
      <c r="H816" s="116">
        <f t="shared" si="25"/>
        <v>0.16457092300000001</v>
      </c>
      <c r="I816" s="111" t="s">
        <v>214</v>
      </c>
    </row>
    <row r="817" spans="1:9" x14ac:dyDescent="0.2">
      <c r="A817" s="111" t="s">
        <v>174</v>
      </c>
      <c r="B817" s="41" t="s">
        <v>175</v>
      </c>
      <c r="C817" s="113" t="s">
        <v>30</v>
      </c>
      <c r="D817" s="113">
        <v>60</v>
      </c>
      <c r="E817" s="114">
        <v>10</v>
      </c>
      <c r="F817" s="99">
        <v>0.91</v>
      </c>
      <c r="G817" s="99">
        <v>600</v>
      </c>
      <c r="H817" s="116">
        <f t="shared" si="25"/>
        <v>0.19099140000000001</v>
      </c>
      <c r="I817" s="111" t="s">
        <v>214</v>
      </c>
    </row>
    <row r="818" spans="1:9" x14ac:dyDescent="0.2">
      <c r="A818" s="88" t="s">
        <v>216</v>
      </c>
      <c r="B818" s="13" t="s">
        <v>217</v>
      </c>
      <c r="C818" s="89" t="s">
        <v>30</v>
      </c>
      <c r="D818" s="89">
        <v>60</v>
      </c>
      <c r="E818" s="90">
        <v>0</v>
      </c>
      <c r="F818" s="12">
        <v>0</v>
      </c>
      <c r="G818" s="12">
        <v>7</v>
      </c>
      <c r="H818" s="16">
        <f t="shared" si="25"/>
        <v>2.228233E-3</v>
      </c>
      <c r="I818" s="88" t="s">
        <v>224</v>
      </c>
    </row>
    <row r="819" spans="1:9" x14ac:dyDescent="0.2">
      <c r="A819" s="88" t="s">
        <v>216</v>
      </c>
      <c r="B819" s="13" t="s">
        <v>217</v>
      </c>
      <c r="C819" s="89" t="s">
        <v>30</v>
      </c>
      <c r="D819" s="89">
        <v>60</v>
      </c>
      <c r="E819" s="90">
        <v>1</v>
      </c>
      <c r="F819" s="12">
        <v>0.14000000000000001</v>
      </c>
      <c r="G819" s="12">
        <v>37</v>
      </c>
      <c r="H819" s="16">
        <f t="shared" si="25"/>
        <v>1.1777803E-2</v>
      </c>
      <c r="I819" s="88" t="s">
        <v>224</v>
      </c>
    </row>
    <row r="820" spans="1:9" x14ac:dyDescent="0.2">
      <c r="A820" s="88" t="s">
        <v>225</v>
      </c>
      <c r="B820" s="13" t="s">
        <v>217</v>
      </c>
      <c r="C820" s="89" t="s">
        <v>30</v>
      </c>
      <c r="D820" s="89">
        <v>60</v>
      </c>
      <c r="E820" s="90">
        <v>2</v>
      </c>
      <c r="F820" s="12">
        <v>0.28000000000000003</v>
      </c>
      <c r="G820" s="12">
        <v>145</v>
      </c>
      <c r="H820" s="16">
        <f t="shared" si="25"/>
        <v>4.6156255E-2</v>
      </c>
      <c r="I820" s="88" t="s">
        <v>226</v>
      </c>
    </row>
    <row r="821" spans="1:9" x14ac:dyDescent="0.2">
      <c r="A821" s="88" t="s">
        <v>225</v>
      </c>
      <c r="B821" s="13" t="s">
        <v>217</v>
      </c>
      <c r="C821" s="89" t="s">
        <v>30</v>
      </c>
      <c r="D821" s="89">
        <v>60</v>
      </c>
      <c r="E821" s="90">
        <v>3</v>
      </c>
      <c r="F821" s="12">
        <v>0.41</v>
      </c>
      <c r="G821" s="12">
        <v>206</v>
      </c>
      <c r="H821" s="16">
        <f t="shared" si="25"/>
        <v>6.5573714000000005E-2</v>
      </c>
      <c r="I821" s="88" t="s">
        <v>226</v>
      </c>
    </row>
    <row r="822" spans="1:9" x14ac:dyDescent="0.2">
      <c r="A822" s="88" t="s">
        <v>225</v>
      </c>
      <c r="B822" s="13" t="s">
        <v>217</v>
      </c>
      <c r="C822" s="89" t="s">
        <v>30</v>
      </c>
      <c r="D822" s="89">
        <v>60</v>
      </c>
      <c r="E822" s="90">
        <v>4</v>
      </c>
      <c r="F822" s="12">
        <v>0.54</v>
      </c>
      <c r="G822" s="12">
        <v>276</v>
      </c>
      <c r="H822" s="16">
        <f t="shared" si="25"/>
        <v>8.7856044000000008E-2</v>
      </c>
      <c r="I822" s="88" t="s">
        <v>226</v>
      </c>
    </row>
    <row r="823" spans="1:9" x14ac:dyDescent="0.2">
      <c r="A823" s="88" t="s">
        <v>225</v>
      </c>
      <c r="B823" s="13" t="s">
        <v>217</v>
      </c>
      <c r="C823" s="89" t="s">
        <v>30</v>
      </c>
      <c r="D823" s="89">
        <v>60</v>
      </c>
      <c r="E823" s="90">
        <v>5</v>
      </c>
      <c r="F823" s="12">
        <v>0.66</v>
      </c>
      <c r="G823" s="12">
        <v>327</v>
      </c>
      <c r="H823" s="16">
        <f t="shared" si="25"/>
        <v>0.104090313</v>
      </c>
      <c r="I823" s="88" t="s">
        <v>226</v>
      </c>
    </row>
    <row r="824" spans="1:9" x14ac:dyDescent="0.2">
      <c r="A824" s="88" t="s">
        <v>225</v>
      </c>
      <c r="B824" s="13" t="s">
        <v>217</v>
      </c>
      <c r="C824" s="89" t="s">
        <v>30</v>
      </c>
      <c r="D824" s="89">
        <v>60</v>
      </c>
      <c r="E824" s="90">
        <v>7</v>
      </c>
      <c r="F824" s="12">
        <v>0.81</v>
      </c>
      <c r="G824" s="12">
        <v>396</v>
      </c>
      <c r="H824" s="16">
        <f t="shared" si="25"/>
        <v>0.12605432400000002</v>
      </c>
      <c r="I824" s="88" t="s">
        <v>226</v>
      </c>
    </row>
    <row r="825" spans="1:9" x14ac:dyDescent="0.2">
      <c r="A825" s="88" t="s">
        <v>225</v>
      </c>
      <c r="B825" s="13" t="s">
        <v>217</v>
      </c>
      <c r="C825" s="89" t="s">
        <v>30</v>
      </c>
      <c r="D825" s="89">
        <v>60</v>
      </c>
      <c r="E825" s="90">
        <v>10</v>
      </c>
      <c r="F825" s="12">
        <v>0.92</v>
      </c>
      <c r="G825" s="12">
        <v>435</v>
      </c>
      <c r="H825" s="16">
        <f t="shared" si="25"/>
        <v>0.13846876499999999</v>
      </c>
      <c r="I825" s="88" t="s">
        <v>226</v>
      </c>
    </row>
    <row r="826" spans="1:9" x14ac:dyDescent="0.2">
      <c r="A826" s="121" t="s">
        <v>227</v>
      </c>
      <c r="B826" s="130" t="s">
        <v>219</v>
      </c>
      <c r="C826" s="122" t="s">
        <v>30</v>
      </c>
      <c r="D826" s="122">
        <v>60</v>
      </c>
      <c r="E826" s="123">
        <v>0</v>
      </c>
      <c r="F826" s="131">
        <v>0</v>
      </c>
      <c r="G826" s="131">
        <v>-4</v>
      </c>
      <c r="H826" s="124">
        <f t="shared" si="25"/>
        <v>-1.2732760000000001E-3</v>
      </c>
      <c r="I826" s="121" t="s">
        <v>226</v>
      </c>
    </row>
    <row r="827" spans="1:9" x14ac:dyDescent="0.2">
      <c r="A827" s="121" t="s">
        <v>227</v>
      </c>
      <c r="B827" s="130" t="s">
        <v>219</v>
      </c>
      <c r="C827" s="122" t="s">
        <v>30</v>
      </c>
      <c r="D827" s="122">
        <v>60</v>
      </c>
      <c r="E827" s="123">
        <v>1</v>
      </c>
      <c r="F827" s="131">
        <v>0.14000000000000001</v>
      </c>
      <c r="G827" s="131">
        <v>25</v>
      </c>
      <c r="H827" s="124">
        <f t="shared" si="25"/>
        <v>7.9579750000000008E-3</v>
      </c>
      <c r="I827" s="121" t="s">
        <v>226</v>
      </c>
    </row>
    <row r="828" spans="1:9" x14ac:dyDescent="0.2">
      <c r="A828" s="121" t="s">
        <v>227</v>
      </c>
      <c r="B828" s="130" t="s">
        <v>219</v>
      </c>
      <c r="C828" s="122" t="s">
        <v>30</v>
      </c>
      <c r="D828" s="122">
        <v>60</v>
      </c>
      <c r="E828" s="123">
        <v>2</v>
      </c>
      <c r="F828" s="131">
        <v>0.28000000000000003</v>
      </c>
      <c r="G828" s="131">
        <v>96</v>
      </c>
      <c r="H828" s="124">
        <f t="shared" si="25"/>
        <v>3.0558624000000003E-2</v>
      </c>
      <c r="I828" s="121" t="s">
        <v>226</v>
      </c>
    </row>
    <row r="829" spans="1:9" x14ac:dyDescent="0.2">
      <c r="A829" s="121" t="s">
        <v>227</v>
      </c>
      <c r="B829" s="130" t="s">
        <v>219</v>
      </c>
      <c r="C829" s="122" t="s">
        <v>30</v>
      </c>
      <c r="D829" s="122">
        <v>60</v>
      </c>
      <c r="E829" s="123">
        <v>3</v>
      </c>
      <c r="F829" s="131">
        <v>0.41</v>
      </c>
      <c r="G829" s="131">
        <v>166</v>
      </c>
      <c r="H829" s="124">
        <f t="shared" si="25"/>
        <v>5.2840954000000002E-2</v>
      </c>
      <c r="I829" s="121" t="s">
        <v>226</v>
      </c>
    </row>
    <row r="830" spans="1:9" x14ac:dyDescent="0.2">
      <c r="A830" s="121" t="s">
        <v>227</v>
      </c>
      <c r="B830" s="130" t="s">
        <v>219</v>
      </c>
      <c r="C830" s="122" t="s">
        <v>30</v>
      </c>
      <c r="D830" s="122">
        <v>60</v>
      </c>
      <c r="E830" s="123">
        <v>4</v>
      </c>
      <c r="F830" s="131">
        <v>0.54</v>
      </c>
      <c r="G830" s="131">
        <v>235</v>
      </c>
      <c r="H830" s="124">
        <f t="shared" si="25"/>
        <v>7.4804965000000001E-2</v>
      </c>
      <c r="I830" s="121" t="s">
        <v>226</v>
      </c>
    </row>
    <row r="831" spans="1:9" x14ac:dyDescent="0.2">
      <c r="A831" s="121" t="s">
        <v>227</v>
      </c>
      <c r="B831" s="130" t="s">
        <v>219</v>
      </c>
      <c r="C831" s="122" t="s">
        <v>30</v>
      </c>
      <c r="D831" s="122">
        <v>60</v>
      </c>
      <c r="E831" s="123">
        <v>5</v>
      </c>
      <c r="F831" s="131">
        <v>0.66</v>
      </c>
      <c r="G831" s="131">
        <v>305</v>
      </c>
      <c r="H831" s="124">
        <f>G831/1000*0.318319</f>
        <v>9.7087295000000004E-2</v>
      </c>
      <c r="I831" s="121" t="s">
        <v>226</v>
      </c>
    </row>
    <row r="832" spans="1:9" x14ac:dyDescent="0.2">
      <c r="A832" s="121" t="s">
        <v>227</v>
      </c>
      <c r="B832" s="130" t="s">
        <v>219</v>
      </c>
      <c r="C832" s="122" t="s">
        <v>30</v>
      </c>
      <c r="D832" s="122">
        <v>60</v>
      </c>
      <c r="E832" s="123">
        <v>7</v>
      </c>
      <c r="F832" s="131">
        <v>0.81</v>
      </c>
      <c r="G832" s="131">
        <v>395</v>
      </c>
      <c r="H832" s="124">
        <f>G832/1000*0.318319</f>
        <v>0.12573600500000001</v>
      </c>
      <c r="I832" s="121" t="s">
        <v>226</v>
      </c>
    </row>
    <row r="833" spans="1:9" x14ac:dyDescent="0.2">
      <c r="A833" s="121" t="s">
        <v>227</v>
      </c>
      <c r="B833" s="130" t="s">
        <v>219</v>
      </c>
      <c r="C833" s="122" t="s">
        <v>30</v>
      </c>
      <c r="D833" s="122">
        <v>60</v>
      </c>
      <c r="E833" s="123">
        <v>10</v>
      </c>
      <c r="F833" s="131">
        <v>0.91</v>
      </c>
      <c r="G833" s="131">
        <v>445</v>
      </c>
      <c r="H833" s="124">
        <f>G833/1000*0.318319</f>
        <v>0.14165195500000002</v>
      </c>
      <c r="I833" s="121" t="s">
        <v>226</v>
      </c>
    </row>
    <row r="834" spans="1:9" x14ac:dyDescent="0.2">
      <c r="A834" s="125" t="s">
        <v>220</v>
      </c>
      <c r="B834" s="132" t="s">
        <v>221</v>
      </c>
      <c r="C834" s="126" t="s">
        <v>30</v>
      </c>
      <c r="D834" s="126">
        <v>60</v>
      </c>
      <c r="E834" s="127">
        <v>0</v>
      </c>
      <c r="F834" s="133">
        <v>0</v>
      </c>
      <c r="G834" s="133">
        <v>-3</v>
      </c>
      <c r="H834" s="128">
        <f t="shared" ref="H834:H897" si="26">G834/1000*0.318319</f>
        <v>-9.5495700000000009E-4</v>
      </c>
      <c r="I834" s="125" t="s">
        <v>226</v>
      </c>
    </row>
    <row r="835" spans="1:9" x14ac:dyDescent="0.2">
      <c r="A835" s="125" t="s">
        <v>220</v>
      </c>
      <c r="B835" s="132" t="s">
        <v>221</v>
      </c>
      <c r="C835" s="126" t="s">
        <v>30</v>
      </c>
      <c r="D835" s="126">
        <v>60</v>
      </c>
      <c r="E835" s="127">
        <v>1</v>
      </c>
      <c r="F835" s="133">
        <v>0.14000000000000001</v>
      </c>
      <c r="G835" s="133">
        <v>26</v>
      </c>
      <c r="H835" s="128">
        <f t="shared" si="26"/>
        <v>8.276294E-3</v>
      </c>
      <c r="I835" s="125" t="s">
        <v>226</v>
      </c>
    </row>
    <row r="836" spans="1:9" x14ac:dyDescent="0.2">
      <c r="A836" s="125" t="s">
        <v>228</v>
      </c>
      <c r="B836" s="132" t="s">
        <v>229</v>
      </c>
      <c r="C836" s="126" t="s">
        <v>30</v>
      </c>
      <c r="D836" s="126">
        <v>60</v>
      </c>
      <c r="E836" s="127">
        <v>2</v>
      </c>
      <c r="F836" s="133">
        <v>0.28000000000000003</v>
      </c>
      <c r="G836" s="133">
        <v>127</v>
      </c>
      <c r="H836" s="128">
        <f t="shared" si="26"/>
        <v>4.0426513000000004E-2</v>
      </c>
      <c r="I836" s="125" t="s">
        <v>226</v>
      </c>
    </row>
    <row r="837" spans="1:9" x14ac:dyDescent="0.2">
      <c r="A837" s="125" t="s">
        <v>228</v>
      </c>
      <c r="B837" s="132" t="s">
        <v>229</v>
      </c>
      <c r="C837" s="126" t="s">
        <v>30</v>
      </c>
      <c r="D837" s="126">
        <v>60</v>
      </c>
      <c r="E837" s="127">
        <v>3</v>
      </c>
      <c r="F837" s="133">
        <v>0.42</v>
      </c>
      <c r="G837" s="133">
        <v>197</v>
      </c>
      <c r="H837" s="128">
        <f t="shared" si="26"/>
        <v>6.2708843E-2</v>
      </c>
      <c r="I837" s="125" t="s">
        <v>226</v>
      </c>
    </row>
    <row r="838" spans="1:9" x14ac:dyDescent="0.2">
      <c r="A838" s="125" t="s">
        <v>228</v>
      </c>
      <c r="B838" s="132" t="s">
        <v>229</v>
      </c>
      <c r="C838" s="126" t="s">
        <v>30</v>
      </c>
      <c r="D838" s="126">
        <v>60</v>
      </c>
      <c r="E838" s="127">
        <v>4</v>
      </c>
      <c r="F838" s="133">
        <v>0.54</v>
      </c>
      <c r="G838" s="133">
        <v>256</v>
      </c>
      <c r="H838" s="128">
        <f t="shared" si="26"/>
        <v>8.1489664000000003E-2</v>
      </c>
      <c r="I838" s="125" t="s">
        <v>226</v>
      </c>
    </row>
    <row r="839" spans="1:9" x14ac:dyDescent="0.2">
      <c r="A839" s="125" t="s">
        <v>228</v>
      </c>
      <c r="B839" s="132" t="s">
        <v>229</v>
      </c>
      <c r="C839" s="126" t="s">
        <v>30</v>
      </c>
      <c r="D839" s="126">
        <v>60</v>
      </c>
      <c r="E839" s="127">
        <v>5</v>
      </c>
      <c r="F839" s="133">
        <v>0.66</v>
      </c>
      <c r="G839" s="133">
        <v>327</v>
      </c>
      <c r="H839" s="128">
        <f t="shared" si="26"/>
        <v>0.104090313</v>
      </c>
      <c r="I839" s="125" t="s">
        <v>226</v>
      </c>
    </row>
    <row r="840" spans="1:9" x14ac:dyDescent="0.2">
      <c r="A840" s="125" t="s">
        <v>228</v>
      </c>
      <c r="B840" s="132" t="s">
        <v>229</v>
      </c>
      <c r="C840" s="126" t="s">
        <v>30</v>
      </c>
      <c r="D840" s="126">
        <v>60</v>
      </c>
      <c r="E840" s="127">
        <v>7</v>
      </c>
      <c r="F840" s="133">
        <v>0.82</v>
      </c>
      <c r="G840" s="133">
        <v>435</v>
      </c>
      <c r="H840" s="128">
        <f t="shared" si="26"/>
        <v>0.13846876499999999</v>
      </c>
      <c r="I840" s="125" t="s">
        <v>226</v>
      </c>
    </row>
    <row r="841" spans="1:9" x14ac:dyDescent="0.2">
      <c r="A841" s="125" t="s">
        <v>228</v>
      </c>
      <c r="B841" s="132" t="s">
        <v>229</v>
      </c>
      <c r="C841" s="126" t="s">
        <v>30</v>
      </c>
      <c r="D841" s="126">
        <v>60</v>
      </c>
      <c r="E841" s="127">
        <v>10</v>
      </c>
      <c r="F841" s="133">
        <v>0.92</v>
      </c>
      <c r="G841" s="133">
        <v>526</v>
      </c>
      <c r="H841" s="128">
        <f t="shared" si="26"/>
        <v>0.16743579400000003</v>
      </c>
      <c r="I841" s="125" t="s">
        <v>226</v>
      </c>
    </row>
    <row r="842" spans="1:9" x14ac:dyDescent="0.2">
      <c r="A842" s="111" t="s">
        <v>222</v>
      </c>
      <c r="B842" s="41" t="s">
        <v>223</v>
      </c>
      <c r="C842" s="113" t="s">
        <v>30</v>
      </c>
      <c r="D842" s="113">
        <v>60</v>
      </c>
      <c r="E842" s="114">
        <v>0</v>
      </c>
      <c r="F842" s="99">
        <v>0</v>
      </c>
      <c r="G842" s="99">
        <v>-2</v>
      </c>
      <c r="H842" s="116">
        <f t="shared" si="26"/>
        <v>-6.3663800000000003E-4</v>
      </c>
      <c r="I842" s="111" t="s">
        <v>226</v>
      </c>
    </row>
    <row r="843" spans="1:9" x14ac:dyDescent="0.2">
      <c r="A843" s="111" t="s">
        <v>222</v>
      </c>
      <c r="B843" s="41" t="s">
        <v>223</v>
      </c>
      <c r="C843" s="113" t="s">
        <v>30</v>
      </c>
      <c r="D843" s="113">
        <v>60</v>
      </c>
      <c r="E843" s="114">
        <v>1</v>
      </c>
      <c r="F843" s="99">
        <v>0.14000000000000001</v>
      </c>
      <c r="G843" s="99">
        <v>27</v>
      </c>
      <c r="H843" s="116">
        <f t="shared" si="26"/>
        <v>8.5946130000000009E-3</v>
      </c>
      <c r="I843" s="111" t="s">
        <v>226</v>
      </c>
    </row>
    <row r="844" spans="1:9" x14ac:dyDescent="0.2">
      <c r="A844" s="111" t="s">
        <v>230</v>
      </c>
      <c r="B844" s="41" t="s">
        <v>223</v>
      </c>
      <c r="C844" s="113" t="s">
        <v>30</v>
      </c>
      <c r="D844" s="113">
        <v>60</v>
      </c>
      <c r="E844" s="114">
        <v>2</v>
      </c>
      <c r="F844" s="99">
        <v>0.28000000000000003</v>
      </c>
      <c r="G844" s="99">
        <v>106</v>
      </c>
      <c r="H844" s="116">
        <f t="shared" si="26"/>
        <v>3.3741814000000002E-2</v>
      </c>
      <c r="I844" s="111" t="s">
        <v>226</v>
      </c>
    </row>
    <row r="845" spans="1:9" x14ac:dyDescent="0.2">
      <c r="A845" s="111" t="s">
        <v>230</v>
      </c>
      <c r="B845" s="41" t="s">
        <v>223</v>
      </c>
      <c r="C845" s="113" t="s">
        <v>30</v>
      </c>
      <c r="D845" s="113">
        <v>60</v>
      </c>
      <c r="E845" s="114">
        <v>3</v>
      </c>
      <c r="F845" s="99">
        <v>0.41</v>
      </c>
      <c r="G845" s="99">
        <v>197</v>
      </c>
      <c r="H845" s="116">
        <f t="shared" si="26"/>
        <v>6.2708843E-2</v>
      </c>
      <c r="I845" s="111" t="s">
        <v>226</v>
      </c>
    </row>
    <row r="846" spans="1:9" x14ac:dyDescent="0.2">
      <c r="A846" s="111" t="s">
        <v>230</v>
      </c>
      <c r="B846" s="41" t="s">
        <v>223</v>
      </c>
      <c r="C846" s="113" t="s">
        <v>30</v>
      </c>
      <c r="D846" s="113">
        <v>60</v>
      </c>
      <c r="E846" s="114">
        <v>4</v>
      </c>
      <c r="F846" s="99">
        <v>0.54</v>
      </c>
      <c r="G846" s="99">
        <v>287</v>
      </c>
      <c r="H846" s="116">
        <f t="shared" si="26"/>
        <v>9.1357552999999994E-2</v>
      </c>
      <c r="I846" s="111" t="s">
        <v>226</v>
      </c>
    </row>
    <row r="847" spans="1:9" x14ac:dyDescent="0.2">
      <c r="A847" s="111" t="s">
        <v>230</v>
      </c>
      <c r="B847" s="41" t="s">
        <v>223</v>
      </c>
      <c r="C847" s="113" t="s">
        <v>30</v>
      </c>
      <c r="D847" s="113">
        <v>60</v>
      </c>
      <c r="E847" s="114">
        <v>5</v>
      </c>
      <c r="F847" s="99">
        <v>0.66</v>
      </c>
      <c r="G847" s="99">
        <v>357</v>
      </c>
      <c r="H847" s="116">
        <f t="shared" si="26"/>
        <v>0.113639883</v>
      </c>
      <c r="I847" s="111" t="s">
        <v>226</v>
      </c>
    </row>
    <row r="848" spans="1:9" x14ac:dyDescent="0.2">
      <c r="A848" s="111" t="s">
        <v>230</v>
      </c>
      <c r="B848" s="41" t="s">
        <v>223</v>
      </c>
      <c r="C848" s="113" t="s">
        <v>30</v>
      </c>
      <c r="D848" s="113">
        <v>60</v>
      </c>
      <c r="E848" s="114">
        <v>7</v>
      </c>
      <c r="F848" s="99">
        <v>0.82</v>
      </c>
      <c r="G848" s="99">
        <v>447</v>
      </c>
      <c r="H848" s="116">
        <f t="shared" si="26"/>
        <v>0.14228859300000002</v>
      </c>
      <c r="I848" s="111" t="s">
        <v>226</v>
      </c>
    </row>
    <row r="849" spans="1:9" x14ac:dyDescent="0.2">
      <c r="A849" s="111" t="s">
        <v>230</v>
      </c>
      <c r="B849" s="41" t="s">
        <v>223</v>
      </c>
      <c r="C849" s="113" t="s">
        <v>30</v>
      </c>
      <c r="D849" s="113">
        <v>60</v>
      </c>
      <c r="E849" s="114">
        <v>10</v>
      </c>
      <c r="F849" s="99">
        <v>0.92</v>
      </c>
      <c r="G849" s="99">
        <v>527</v>
      </c>
      <c r="H849" s="116">
        <f t="shared" si="26"/>
        <v>0.16775411300000001</v>
      </c>
      <c r="I849" s="111" t="s">
        <v>226</v>
      </c>
    </row>
    <row r="850" spans="1:9" x14ac:dyDescent="0.2">
      <c r="A850" s="134" t="s">
        <v>231</v>
      </c>
      <c r="B850" s="60" t="s">
        <v>232</v>
      </c>
      <c r="C850" s="135" t="s">
        <v>30</v>
      </c>
      <c r="D850" s="135">
        <v>60</v>
      </c>
      <c r="E850" s="136">
        <v>0</v>
      </c>
      <c r="F850" s="100">
        <v>0</v>
      </c>
      <c r="G850" s="100">
        <v>-4</v>
      </c>
      <c r="H850" s="137">
        <f t="shared" si="26"/>
        <v>-1.2732760000000001E-3</v>
      </c>
      <c r="I850" s="134" t="s">
        <v>226</v>
      </c>
    </row>
    <row r="851" spans="1:9" x14ac:dyDescent="0.2">
      <c r="A851" s="134" t="s">
        <v>231</v>
      </c>
      <c r="B851" s="60" t="s">
        <v>232</v>
      </c>
      <c r="C851" s="135" t="s">
        <v>30</v>
      </c>
      <c r="D851" s="135">
        <v>60</v>
      </c>
      <c r="E851" s="136">
        <v>1</v>
      </c>
      <c r="F851" s="100">
        <v>0.14000000000000001</v>
      </c>
      <c r="G851" s="100">
        <v>36</v>
      </c>
      <c r="H851" s="137">
        <f t="shared" si="26"/>
        <v>1.1459483999999999E-2</v>
      </c>
      <c r="I851" s="134" t="s">
        <v>226</v>
      </c>
    </row>
    <row r="852" spans="1:9" x14ac:dyDescent="0.2">
      <c r="A852" s="134" t="s">
        <v>233</v>
      </c>
      <c r="B852" s="60" t="s">
        <v>232</v>
      </c>
      <c r="C852" s="135" t="s">
        <v>30</v>
      </c>
      <c r="D852" s="135">
        <v>60</v>
      </c>
      <c r="E852" s="136">
        <v>2</v>
      </c>
      <c r="F852" s="100">
        <v>0.27</v>
      </c>
      <c r="G852" s="100">
        <v>107</v>
      </c>
      <c r="H852" s="137">
        <f t="shared" si="26"/>
        <v>3.4060132999999999E-2</v>
      </c>
      <c r="I852" s="134" t="s">
        <v>226</v>
      </c>
    </row>
    <row r="853" spans="1:9" x14ac:dyDescent="0.2">
      <c r="A853" s="134" t="s">
        <v>233</v>
      </c>
      <c r="B853" s="60" t="s">
        <v>232</v>
      </c>
      <c r="C853" s="135" t="s">
        <v>30</v>
      </c>
      <c r="D853" s="135">
        <v>60</v>
      </c>
      <c r="E853" s="136">
        <v>3</v>
      </c>
      <c r="F853" s="100">
        <v>0.4</v>
      </c>
      <c r="G853" s="100">
        <v>166</v>
      </c>
      <c r="H853" s="137">
        <f t="shared" si="26"/>
        <v>5.2840954000000002E-2</v>
      </c>
      <c r="I853" s="134" t="s">
        <v>226</v>
      </c>
    </row>
    <row r="854" spans="1:9" x14ac:dyDescent="0.2">
      <c r="A854" s="134" t="s">
        <v>233</v>
      </c>
      <c r="B854" s="60" t="s">
        <v>232</v>
      </c>
      <c r="C854" s="135" t="s">
        <v>30</v>
      </c>
      <c r="D854" s="135">
        <v>60</v>
      </c>
      <c r="E854" s="136">
        <v>4</v>
      </c>
      <c r="F854" s="100">
        <v>0.53</v>
      </c>
      <c r="G854" s="100">
        <v>227</v>
      </c>
      <c r="H854" s="137">
        <f t="shared" si="26"/>
        <v>7.2258413000000007E-2</v>
      </c>
      <c r="I854" s="134" t="s">
        <v>226</v>
      </c>
    </row>
    <row r="855" spans="1:9" x14ac:dyDescent="0.2">
      <c r="A855" s="134" t="s">
        <v>233</v>
      </c>
      <c r="B855" s="60" t="s">
        <v>232</v>
      </c>
      <c r="C855" s="135" t="s">
        <v>30</v>
      </c>
      <c r="D855" s="135">
        <v>60</v>
      </c>
      <c r="E855" s="136">
        <v>5</v>
      </c>
      <c r="F855" s="100">
        <v>0.65</v>
      </c>
      <c r="G855" s="100">
        <v>286</v>
      </c>
      <c r="H855" s="137">
        <f t="shared" si="26"/>
        <v>9.1039233999999997E-2</v>
      </c>
      <c r="I855" s="134" t="s">
        <v>226</v>
      </c>
    </row>
    <row r="856" spans="1:9" x14ac:dyDescent="0.2">
      <c r="A856" s="134" t="s">
        <v>233</v>
      </c>
      <c r="B856" s="60" t="s">
        <v>232</v>
      </c>
      <c r="C856" s="135" t="s">
        <v>30</v>
      </c>
      <c r="D856" s="135">
        <v>60</v>
      </c>
      <c r="E856" s="136">
        <v>7</v>
      </c>
      <c r="F856" s="100">
        <v>0.8</v>
      </c>
      <c r="G856" s="100">
        <v>348</v>
      </c>
      <c r="H856" s="137">
        <f t="shared" si="26"/>
        <v>0.11077501199999999</v>
      </c>
      <c r="I856" s="134" t="s">
        <v>226</v>
      </c>
    </row>
    <row r="857" spans="1:9" x14ac:dyDescent="0.2">
      <c r="A857" s="134" t="s">
        <v>233</v>
      </c>
      <c r="B857" s="60" t="s">
        <v>232</v>
      </c>
      <c r="C857" s="135" t="s">
        <v>30</v>
      </c>
      <c r="D857" s="135">
        <v>60</v>
      </c>
      <c r="E857" s="136">
        <v>10</v>
      </c>
      <c r="F857" s="100">
        <v>0.9</v>
      </c>
      <c r="G857" s="100">
        <v>386</v>
      </c>
      <c r="H857" s="137">
        <f t="shared" si="26"/>
        <v>0.12287113400000001</v>
      </c>
      <c r="I857" s="134" t="s">
        <v>226</v>
      </c>
    </row>
    <row r="858" spans="1:9" x14ac:dyDescent="0.2">
      <c r="A858" s="121" t="s">
        <v>234</v>
      </c>
      <c r="B858" s="93" t="s">
        <v>235</v>
      </c>
      <c r="C858" s="122" t="s">
        <v>30</v>
      </c>
      <c r="D858" s="122">
        <v>60</v>
      </c>
      <c r="E858" s="123">
        <v>0</v>
      </c>
      <c r="F858" s="96">
        <v>0</v>
      </c>
      <c r="G858" s="96">
        <v>-14</v>
      </c>
      <c r="H858" s="124">
        <f t="shared" si="26"/>
        <v>-4.4564660000000001E-3</v>
      </c>
      <c r="I858" s="121" t="s">
        <v>236</v>
      </c>
    </row>
    <row r="859" spans="1:9" x14ac:dyDescent="0.2">
      <c r="A859" s="121" t="s">
        <v>234</v>
      </c>
      <c r="B859" s="93" t="s">
        <v>235</v>
      </c>
      <c r="C859" s="122" t="s">
        <v>30</v>
      </c>
      <c r="D859" s="122">
        <v>60</v>
      </c>
      <c r="E859" s="123">
        <v>1</v>
      </c>
      <c r="F859" s="96">
        <v>0.15</v>
      </c>
      <c r="G859" s="96">
        <v>17</v>
      </c>
      <c r="H859" s="124">
        <f t="shared" si="26"/>
        <v>5.4114230000000003E-3</v>
      </c>
      <c r="I859" s="121" t="s">
        <v>236</v>
      </c>
    </row>
    <row r="860" spans="1:9" x14ac:dyDescent="0.2">
      <c r="A860" s="121" t="s">
        <v>237</v>
      </c>
      <c r="B860" s="93" t="s">
        <v>235</v>
      </c>
      <c r="C860" s="122" t="s">
        <v>30</v>
      </c>
      <c r="D860" s="122">
        <v>60</v>
      </c>
      <c r="E860" s="123">
        <v>2</v>
      </c>
      <c r="F860" s="96">
        <v>0.3</v>
      </c>
      <c r="G860" s="96">
        <v>85</v>
      </c>
      <c r="H860" s="124">
        <f t="shared" si="26"/>
        <v>2.7057115000000003E-2</v>
      </c>
      <c r="I860" s="121" t="s">
        <v>238</v>
      </c>
    </row>
    <row r="861" spans="1:9" x14ac:dyDescent="0.2">
      <c r="A861" s="121" t="s">
        <v>237</v>
      </c>
      <c r="B861" s="93" t="s">
        <v>235</v>
      </c>
      <c r="C861" s="122" t="s">
        <v>30</v>
      </c>
      <c r="D861" s="122">
        <v>60</v>
      </c>
      <c r="E861" s="123">
        <v>3</v>
      </c>
      <c r="F861" s="96">
        <v>0.45</v>
      </c>
      <c r="G861" s="96">
        <v>145</v>
      </c>
      <c r="H861" s="124">
        <f t="shared" si="26"/>
        <v>4.6156255E-2</v>
      </c>
      <c r="I861" s="121" t="s">
        <v>238</v>
      </c>
    </row>
    <row r="862" spans="1:9" x14ac:dyDescent="0.2">
      <c r="A862" s="121" t="s">
        <v>237</v>
      </c>
      <c r="B862" s="93" t="s">
        <v>235</v>
      </c>
      <c r="C862" s="122" t="s">
        <v>30</v>
      </c>
      <c r="D862" s="122">
        <v>60</v>
      </c>
      <c r="E862" s="123">
        <v>4</v>
      </c>
      <c r="F862" s="96">
        <v>0.59</v>
      </c>
      <c r="G862" s="96">
        <v>216</v>
      </c>
      <c r="H862" s="124">
        <f t="shared" si="26"/>
        <v>6.8756904000000008E-2</v>
      </c>
      <c r="I862" s="121" t="s">
        <v>238</v>
      </c>
    </row>
    <row r="863" spans="1:9" x14ac:dyDescent="0.2">
      <c r="A863" s="121" t="s">
        <v>237</v>
      </c>
      <c r="B863" s="93" t="s">
        <v>235</v>
      </c>
      <c r="C863" s="122" t="s">
        <v>30</v>
      </c>
      <c r="D863" s="122">
        <v>60</v>
      </c>
      <c r="E863" s="123">
        <v>5</v>
      </c>
      <c r="F863" s="96">
        <v>0.71</v>
      </c>
      <c r="G863" s="96">
        <v>275</v>
      </c>
      <c r="H863" s="124">
        <f t="shared" si="26"/>
        <v>8.7537725000000011E-2</v>
      </c>
      <c r="I863" s="121" t="s">
        <v>238</v>
      </c>
    </row>
    <row r="864" spans="1:9" x14ac:dyDescent="0.2">
      <c r="A864" s="121" t="s">
        <v>237</v>
      </c>
      <c r="B864" s="93" t="s">
        <v>235</v>
      </c>
      <c r="C864" s="122" t="s">
        <v>30</v>
      </c>
      <c r="D864" s="122">
        <v>60</v>
      </c>
      <c r="E864" s="123">
        <v>7</v>
      </c>
      <c r="F864" s="96">
        <v>0.88</v>
      </c>
      <c r="G864" s="96">
        <v>417</v>
      </c>
      <c r="H864" s="124">
        <f t="shared" si="26"/>
        <v>0.13273902300000001</v>
      </c>
      <c r="I864" s="121" t="s">
        <v>238</v>
      </c>
    </row>
    <row r="865" spans="1:9" x14ac:dyDescent="0.2">
      <c r="A865" s="121" t="s">
        <v>237</v>
      </c>
      <c r="B865" s="93" t="s">
        <v>235</v>
      </c>
      <c r="C865" s="122" t="s">
        <v>30</v>
      </c>
      <c r="D865" s="122">
        <v>60</v>
      </c>
      <c r="E865" s="123">
        <v>10</v>
      </c>
      <c r="F865" s="96">
        <v>0.99</v>
      </c>
      <c r="G865" s="96">
        <v>488</v>
      </c>
      <c r="H865" s="124">
        <f t="shared" si="26"/>
        <v>0.15533967200000001</v>
      </c>
      <c r="I865" s="121" t="s">
        <v>238</v>
      </c>
    </row>
    <row r="866" spans="1:9" x14ac:dyDescent="0.2">
      <c r="A866" s="125" t="s">
        <v>239</v>
      </c>
      <c r="B866" s="49" t="s">
        <v>240</v>
      </c>
      <c r="C866" s="126" t="s">
        <v>30</v>
      </c>
      <c r="D866" s="126">
        <v>60</v>
      </c>
      <c r="E866" s="127">
        <v>0</v>
      </c>
      <c r="F866" s="98">
        <v>0</v>
      </c>
      <c r="G866" s="98">
        <v>-4</v>
      </c>
      <c r="H866" s="128">
        <f t="shared" si="26"/>
        <v>-1.2732760000000001E-3</v>
      </c>
      <c r="I866" s="125" t="s">
        <v>238</v>
      </c>
    </row>
    <row r="867" spans="1:9" x14ac:dyDescent="0.2">
      <c r="A867" s="125" t="s">
        <v>239</v>
      </c>
      <c r="B867" s="49" t="s">
        <v>240</v>
      </c>
      <c r="C867" s="126" t="s">
        <v>30</v>
      </c>
      <c r="D867" s="126">
        <v>60</v>
      </c>
      <c r="E867" s="127">
        <v>1</v>
      </c>
      <c r="F867" s="98">
        <v>0.15</v>
      </c>
      <c r="G867" s="98">
        <v>25</v>
      </c>
      <c r="H867" s="128">
        <f t="shared" si="26"/>
        <v>7.9579750000000008E-3</v>
      </c>
      <c r="I867" s="125" t="s">
        <v>238</v>
      </c>
    </row>
    <row r="868" spans="1:9" x14ac:dyDescent="0.2">
      <c r="A868" s="125" t="s">
        <v>241</v>
      </c>
      <c r="B868" s="49" t="s">
        <v>240</v>
      </c>
      <c r="C868" s="126" t="s">
        <v>30</v>
      </c>
      <c r="D868" s="126">
        <v>60</v>
      </c>
      <c r="E868" s="127">
        <v>2</v>
      </c>
      <c r="F868" s="98">
        <v>0.3</v>
      </c>
      <c r="G868" s="98">
        <v>126</v>
      </c>
      <c r="H868" s="128">
        <f t="shared" si="26"/>
        <v>4.0108194E-2</v>
      </c>
      <c r="I868" s="125" t="s">
        <v>238</v>
      </c>
    </row>
    <row r="869" spans="1:9" x14ac:dyDescent="0.2">
      <c r="A869" s="125" t="s">
        <v>241</v>
      </c>
      <c r="B869" s="49" t="s">
        <v>240</v>
      </c>
      <c r="C869" s="126" t="s">
        <v>30</v>
      </c>
      <c r="D869" s="126">
        <v>60</v>
      </c>
      <c r="E869" s="127">
        <v>3</v>
      </c>
      <c r="F869" s="98">
        <v>0.45</v>
      </c>
      <c r="G869" s="98">
        <v>196</v>
      </c>
      <c r="H869" s="128">
        <f t="shared" si="26"/>
        <v>6.2390524000000003E-2</v>
      </c>
      <c r="I869" s="125" t="s">
        <v>238</v>
      </c>
    </row>
    <row r="870" spans="1:9" x14ac:dyDescent="0.2">
      <c r="A870" s="125" t="s">
        <v>241</v>
      </c>
      <c r="B870" s="49" t="s">
        <v>240</v>
      </c>
      <c r="C870" s="126" t="s">
        <v>30</v>
      </c>
      <c r="D870" s="126">
        <v>60</v>
      </c>
      <c r="E870" s="127">
        <v>4</v>
      </c>
      <c r="F870" s="98">
        <v>0.59</v>
      </c>
      <c r="G870" s="98">
        <v>257</v>
      </c>
      <c r="H870" s="128">
        <f t="shared" si="26"/>
        <v>8.1807983000000001E-2</v>
      </c>
      <c r="I870" s="125" t="s">
        <v>238</v>
      </c>
    </row>
    <row r="871" spans="1:9" x14ac:dyDescent="0.2">
      <c r="A871" s="125" t="s">
        <v>241</v>
      </c>
      <c r="B871" s="49" t="s">
        <v>240</v>
      </c>
      <c r="C871" s="126" t="s">
        <v>30</v>
      </c>
      <c r="D871" s="126">
        <v>60</v>
      </c>
      <c r="E871" s="127">
        <v>5</v>
      </c>
      <c r="F871" s="98">
        <v>0.72</v>
      </c>
      <c r="G871" s="98">
        <v>314</v>
      </c>
      <c r="H871" s="128">
        <f t="shared" si="26"/>
        <v>9.9952166000000009E-2</v>
      </c>
      <c r="I871" s="125" t="s">
        <v>238</v>
      </c>
    </row>
    <row r="872" spans="1:9" x14ac:dyDescent="0.2">
      <c r="A872" s="125" t="s">
        <v>241</v>
      </c>
      <c r="B872" s="49" t="s">
        <v>240</v>
      </c>
      <c r="C872" s="126" t="s">
        <v>30</v>
      </c>
      <c r="D872" s="126">
        <v>60</v>
      </c>
      <c r="E872" s="127">
        <v>7</v>
      </c>
      <c r="F872" s="98">
        <v>0.89</v>
      </c>
      <c r="G872" s="98">
        <v>394</v>
      </c>
      <c r="H872" s="128">
        <f t="shared" si="26"/>
        <v>0.125417686</v>
      </c>
      <c r="I872" s="125" t="s">
        <v>238</v>
      </c>
    </row>
    <row r="873" spans="1:9" x14ac:dyDescent="0.2">
      <c r="A873" s="125" t="s">
        <v>241</v>
      </c>
      <c r="B873" s="49" t="s">
        <v>240</v>
      </c>
      <c r="C873" s="126" t="s">
        <v>30</v>
      </c>
      <c r="D873" s="126">
        <v>60</v>
      </c>
      <c r="E873" s="127">
        <v>10</v>
      </c>
      <c r="F873" s="98">
        <v>1</v>
      </c>
      <c r="G873" s="98">
        <v>455</v>
      </c>
      <c r="H873" s="128">
        <f t="shared" si="26"/>
        <v>0.14483514500000003</v>
      </c>
      <c r="I873" s="125" t="s">
        <v>238</v>
      </c>
    </row>
    <row r="874" spans="1:9" x14ac:dyDescent="0.2">
      <c r="A874" s="111" t="s">
        <v>242</v>
      </c>
      <c r="B874" s="41" t="s">
        <v>243</v>
      </c>
      <c r="C874" s="113" t="s">
        <v>30</v>
      </c>
      <c r="D874" s="113">
        <v>60</v>
      </c>
      <c r="E874" s="114">
        <v>0</v>
      </c>
      <c r="F874" s="99">
        <v>0</v>
      </c>
      <c r="G874" s="99">
        <v>17</v>
      </c>
      <c r="H874" s="116">
        <f t="shared" si="26"/>
        <v>5.4114230000000003E-3</v>
      </c>
      <c r="I874" s="111" t="s">
        <v>238</v>
      </c>
    </row>
    <row r="875" spans="1:9" x14ac:dyDescent="0.2">
      <c r="A875" s="111" t="s">
        <v>242</v>
      </c>
      <c r="B875" s="41" t="s">
        <v>252</v>
      </c>
      <c r="C875" s="113" t="s">
        <v>30</v>
      </c>
      <c r="D875" s="113">
        <v>60</v>
      </c>
      <c r="E875" s="114">
        <v>1</v>
      </c>
      <c r="F875" s="99">
        <v>0.16</v>
      </c>
      <c r="G875" s="99">
        <v>47</v>
      </c>
      <c r="H875" s="116">
        <f t="shared" si="26"/>
        <v>1.4960993000000001E-2</v>
      </c>
      <c r="I875" s="111" t="s">
        <v>238</v>
      </c>
    </row>
    <row r="876" spans="1:9" x14ac:dyDescent="0.2">
      <c r="A876" s="111" t="s">
        <v>250</v>
      </c>
      <c r="B876" s="41" t="s">
        <v>243</v>
      </c>
      <c r="C876" s="113" t="s">
        <v>30</v>
      </c>
      <c r="D876" s="113">
        <v>60</v>
      </c>
      <c r="E876" s="114">
        <v>2</v>
      </c>
      <c r="F876" s="99">
        <v>0.32</v>
      </c>
      <c r="G876" s="99">
        <v>98</v>
      </c>
      <c r="H876" s="116">
        <f t="shared" si="26"/>
        <v>3.1195262000000001E-2</v>
      </c>
      <c r="I876" s="111" t="s">
        <v>238</v>
      </c>
    </row>
    <row r="877" spans="1:9" x14ac:dyDescent="0.2">
      <c r="A877" s="111" t="s">
        <v>250</v>
      </c>
      <c r="B877" s="41" t="s">
        <v>243</v>
      </c>
      <c r="C877" s="113" t="s">
        <v>30</v>
      </c>
      <c r="D877" s="113">
        <v>60</v>
      </c>
      <c r="E877" s="114">
        <v>3</v>
      </c>
      <c r="F877" s="99">
        <v>0.47</v>
      </c>
      <c r="G877" s="99">
        <v>187</v>
      </c>
      <c r="H877" s="116">
        <f t="shared" si="26"/>
        <v>5.9525653000000005E-2</v>
      </c>
      <c r="I877" s="111" t="s">
        <v>238</v>
      </c>
    </row>
    <row r="878" spans="1:9" x14ac:dyDescent="0.2">
      <c r="A878" s="111" t="s">
        <v>250</v>
      </c>
      <c r="B878" s="41" t="s">
        <v>243</v>
      </c>
      <c r="C878" s="113" t="s">
        <v>30</v>
      </c>
      <c r="D878" s="113">
        <v>60</v>
      </c>
      <c r="E878" s="114">
        <v>4</v>
      </c>
      <c r="F878" s="99">
        <v>0.61</v>
      </c>
      <c r="G878" s="99">
        <v>276</v>
      </c>
      <c r="H878" s="116">
        <f t="shared" si="26"/>
        <v>8.7856044000000008E-2</v>
      </c>
      <c r="I878" s="111" t="s">
        <v>238</v>
      </c>
    </row>
    <row r="879" spans="1:9" x14ac:dyDescent="0.2">
      <c r="A879" s="111" t="s">
        <v>250</v>
      </c>
      <c r="B879" s="41" t="s">
        <v>243</v>
      </c>
      <c r="C879" s="113" t="s">
        <v>30</v>
      </c>
      <c r="D879" s="113">
        <v>60</v>
      </c>
      <c r="E879" s="114">
        <v>5</v>
      </c>
      <c r="F879" s="99">
        <v>0.75</v>
      </c>
      <c r="G879" s="99">
        <v>367</v>
      </c>
      <c r="H879" s="116">
        <f t="shared" si="26"/>
        <v>0.116823073</v>
      </c>
      <c r="I879" s="111" t="s">
        <v>238</v>
      </c>
    </row>
    <row r="880" spans="1:9" x14ac:dyDescent="0.2">
      <c r="A880" s="111" t="s">
        <v>250</v>
      </c>
      <c r="B880" s="41" t="s">
        <v>243</v>
      </c>
      <c r="C880" s="113" t="s">
        <v>30</v>
      </c>
      <c r="D880" s="113">
        <v>60</v>
      </c>
      <c r="E880" s="114">
        <v>7</v>
      </c>
      <c r="F880" s="99">
        <v>0.93</v>
      </c>
      <c r="G880" s="99">
        <v>516</v>
      </c>
      <c r="H880" s="116">
        <f t="shared" si="26"/>
        <v>0.16425260400000002</v>
      </c>
      <c r="I880" s="111" t="s">
        <v>238</v>
      </c>
    </row>
    <row r="881" spans="1:9" x14ac:dyDescent="0.2">
      <c r="A881" s="111" t="s">
        <v>250</v>
      </c>
      <c r="B881" s="41" t="s">
        <v>243</v>
      </c>
      <c r="C881" s="113" t="s">
        <v>30</v>
      </c>
      <c r="D881" s="113">
        <v>60</v>
      </c>
      <c r="E881" s="114">
        <v>10</v>
      </c>
      <c r="F881" s="99">
        <v>1.04</v>
      </c>
      <c r="G881" s="99">
        <v>637</v>
      </c>
      <c r="H881" s="116">
        <f t="shared" si="26"/>
        <v>0.20276920300000001</v>
      </c>
      <c r="I881" s="111" t="s">
        <v>238</v>
      </c>
    </row>
    <row r="882" spans="1:9" x14ac:dyDescent="0.2">
      <c r="A882" s="117" t="s">
        <v>246</v>
      </c>
      <c r="B882" s="76" t="s">
        <v>245</v>
      </c>
      <c r="C882" s="118" t="s">
        <v>30</v>
      </c>
      <c r="D882" s="118">
        <v>60</v>
      </c>
      <c r="E882" s="119">
        <v>0</v>
      </c>
      <c r="F882" s="101">
        <v>0</v>
      </c>
      <c r="G882" s="101">
        <v>2</v>
      </c>
      <c r="H882" s="120">
        <f t="shared" si="26"/>
        <v>6.3663800000000003E-4</v>
      </c>
      <c r="I882" s="117" t="s">
        <v>238</v>
      </c>
    </row>
    <row r="883" spans="1:9" x14ac:dyDescent="0.2">
      <c r="A883" s="117" t="s">
        <v>246</v>
      </c>
      <c r="B883" s="76" t="s">
        <v>245</v>
      </c>
      <c r="C883" s="118" t="s">
        <v>30</v>
      </c>
      <c r="D883" s="118">
        <v>60</v>
      </c>
      <c r="E883" s="119">
        <v>1</v>
      </c>
      <c r="F883" s="101">
        <v>0.15</v>
      </c>
      <c r="G883" s="101">
        <v>-12</v>
      </c>
      <c r="H883" s="120">
        <f t="shared" si="26"/>
        <v>-3.8198280000000004E-3</v>
      </c>
      <c r="I883" s="117" t="s">
        <v>238</v>
      </c>
    </row>
    <row r="884" spans="1:9" x14ac:dyDescent="0.2">
      <c r="A884" s="117" t="s">
        <v>246</v>
      </c>
      <c r="B884" s="76" t="s">
        <v>245</v>
      </c>
      <c r="C884" s="118" t="s">
        <v>30</v>
      </c>
      <c r="D884" s="118">
        <v>60</v>
      </c>
      <c r="E884" s="119">
        <v>2</v>
      </c>
      <c r="F884" s="101">
        <v>0.3</v>
      </c>
      <c r="G884" s="101">
        <v>156</v>
      </c>
      <c r="H884" s="120">
        <f t="shared" si="26"/>
        <v>4.9657764E-2</v>
      </c>
      <c r="I884" s="117" t="s">
        <v>238</v>
      </c>
    </row>
    <row r="885" spans="1:9" x14ac:dyDescent="0.2">
      <c r="A885" s="117" t="s">
        <v>246</v>
      </c>
      <c r="B885" s="76" t="s">
        <v>245</v>
      </c>
      <c r="C885" s="118" t="s">
        <v>30</v>
      </c>
      <c r="D885" s="118">
        <v>60</v>
      </c>
      <c r="E885" s="119">
        <v>3</v>
      </c>
      <c r="F885" s="101">
        <v>0.44</v>
      </c>
      <c r="G885" s="101">
        <v>258</v>
      </c>
      <c r="H885" s="120">
        <f t="shared" si="26"/>
        <v>8.2126302000000012E-2</v>
      </c>
      <c r="I885" s="117" t="s">
        <v>238</v>
      </c>
    </row>
    <row r="886" spans="1:9" x14ac:dyDescent="0.2">
      <c r="A886" s="117" t="s">
        <v>246</v>
      </c>
      <c r="B886" s="76" t="s">
        <v>245</v>
      </c>
      <c r="C886" s="118" t="s">
        <v>30</v>
      </c>
      <c r="D886" s="118">
        <v>60</v>
      </c>
      <c r="E886" s="119">
        <v>4</v>
      </c>
      <c r="F886" s="101">
        <v>0.57999999999999996</v>
      </c>
      <c r="G886" s="101">
        <v>386</v>
      </c>
      <c r="H886" s="120">
        <f t="shared" si="26"/>
        <v>0.12287113400000001</v>
      </c>
      <c r="I886" s="117" t="s">
        <v>238</v>
      </c>
    </row>
    <row r="887" spans="1:9" x14ac:dyDescent="0.2">
      <c r="A887" s="117" t="s">
        <v>246</v>
      </c>
      <c r="B887" s="76" t="s">
        <v>245</v>
      </c>
      <c r="C887" s="118" t="s">
        <v>30</v>
      </c>
      <c r="D887" s="118">
        <v>60</v>
      </c>
      <c r="E887" s="119">
        <v>5</v>
      </c>
      <c r="F887" s="101">
        <v>0.71</v>
      </c>
      <c r="G887" s="101">
        <v>496</v>
      </c>
      <c r="H887" s="120">
        <f t="shared" si="26"/>
        <v>0.15788622400000002</v>
      </c>
      <c r="I887" s="117" t="s">
        <v>238</v>
      </c>
    </row>
    <row r="888" spans="1:9" x14ac:dyDescent="0.2">
      <c r="A888" s="117" t="s">
        <v>246</v>
      </c>
      <c r="B888" s="76" t="s">
        <v>245</v>
      </c>
      <c r="C888" s="118" t="s">
        <v>30</v>
      </c>
      <c r="D888" s="118">
        <v>60</v>
      </c>
      <c r="E888" s="119">
        <v>7</v>
      </c>
      <c r="F888" s="101">
        <v>0.88</v>
      </c>
      <c r="G888" s="101">
        <v>598</v>
      </c>
      <c r="H888" s="120">
        <f t="shared" si="26"/>
        <v>0.19035476200000001</v>
      </c>
      <c r="I888" s="117" t="s">
        <v>238</v>
      </c>
    </row>
    <row r="889" spans="1:9" x14ac:dyDescent="0.2">
      <c r="A889" s="117" t="s">
        <v>246</v>
      </c>
      <c r="B889" s="76" t="s">
        <v>245</v>
      </c>
      <c r="C889" s="118" t="s">
        <v>30</v>
      </c>
      <c r="D889" s="118">
        <v>60</v>
      </c>
      <c r="E889" s="119">
        <v>10</v>
      </c>
      <c r="F889" s="101">
        <v>1</v>
      </c>
      <c r="G889" s="101">
        <v>668</v>
      </c>
      <c r="H889" s="120">
        <f t="shared" si="26"/>
        <v>0.21263709200000003</v>
      </c>
      <c r="I889" s="117" t="s">
        <v>238</v>
      </c>
    </row>
    <row r="890" spans="1:9" x14ac:dyDescent="0.2">
      <c r="A890" s="121" t="s">
        <v>244</v>
      </c>
      <c r="B890" s="93" t="s">
        <v>247</v>
      </c>
      <c r="C890" s="122" t="s">
        <v>30</v>
      </c>
      <c r="D890" s="122">
        <v>60</v>
      </c>
      <c r="E890" s="123">
        <v>0</v>
      </c>
      <c r="F890" s="96">
        <v>0</v>
      </c>
      <c r="G890" s="96">
        <v>25</v>
      </c>
      <c r="H890" s="124">
        <f t="shared" si="26"/>
        <v>7.9579750000000008E-3</v>
      </c>
      <c r="I890" s="121" t="s">
        <v>238</v>
      </c>
    </row>
    <row r="891" spans="1:9" x14ac:dyDescent="0.2">
      <c r="A891" s="121" t="s">
        <v>244</v>
      </c>
      <c r="B891" s="93" t="s">
        <v>247</v>
      </c>
      <c r="C891" s="122" t="s">
        <v>30</v>
      </c>
      <c r="D891" s="122">
        <v>60</v>
      </c>
      <c r="E891" s="123">
        <v>1</v>
      </c>
      <c r="F891" s="96">
        <v>0.16</v>
      </c>
      <c r="G891" s="96">
        <v>66</v>
      </c>
      <c r="H891" s="124">
        <f t="shared" si="26"/>
        <v>2.1009054000000003E-2</v>
      </c>
      <c r="I891" s="121" t="s">
        <v>238</v>
      </c>
    </row>
    <row r="892" spans="1:9" x14ac:dyDescent="0.2">
      <c r="A892" s="121" t="s">
        <v>244</v>
      </c>
      <c r="B892" s="93" t="s">
        <v>247</v>
      </c>
      <c r="C892" s="122" t="s">
        <v>30</v>
      </c>
      <c r="D892" s="122">
        <v>60</v>
      </c>
      <c r="E892" s="123">
        <v>2</v>
      </c>
      <c r="F892" s="96">
        <v>0.31</v>
      </c>
      <c r="G892" s="96">
        <v>157</v>
      </c>
      <c r="H892" s="124">
        <f t="shared" si="26"/>
        <v>4.9976083000000004E-2</v>
      </c>
      <c r="I892" s="121" t="s">
        <v>238</v>
      </c>
    </row>
    <row r="893" spans="1:9" x14ac:dyDescent="0.2">
      <c r="A893" s="121" t="s">
        <v>244</v>
      </c>
      <c r="B893" s="93" t="s">
        <v>247</v>
      </c>
      <c r="C893" s="122" t="s">
        <v>30</v>
      </c>
      <c r="D893" s="122">
        <v>60</v>
      </c>
      <c r="E893" s="123">
        <v>3</v>
      </c>
      <c r="F893" s="96">
        <v>0.46</v>
      </c>
      <c r="G893" s="96">
        <v>275</v>
      </c>
      <c r="H893" s="124">
        <f t="shared" si="26"/>
        <v>8.7537725000000011E-2</v>
      </c>
      <c r="I893" s="121" t="s">
        <v>238</v>
      </c>
    </row>
    <row r="894" spans="1:9" x14ac:dyDescent="0.2">
      <c r="A894" s="121" t="s">
        <v>244</v>
      </c>
      <c r="B894" s="93" t="s">
        <v>247</v>
      </c>
      <c r="C894" s="122" t="s">
        <v>30</v>
      </c>
      <c r="D894" s="122">
        <v>60</v>
      </c>
      <c r="E894" s="123">
        <v>4</v>
      </c>
      <c r="F894" s="96">
        <v>0.61</v>
      </c>
      <c r="G894" s="96">
        <v>386</v>
      </c>
      <c r="H894" s="124">
        <f t="shared" si="26"/>
        <v>0.12287113400000001</v>
      </c>
      <c r="I894" s="121" t="s">
        <v>238</v>
      </c>
    </row>
    <row r="895" spans="1:9" x14ac:dyDescent="0.2">
      <c r="A895" s="121" t="s">
        <v>244</v>
      </c>
      <c r="B895" s="93" t="s">
        <v>247</v>
      </c>
      <c r="C895" s="122" t="s">
        <v>30</v>
      </c>
      <c r="D895" s="122">
        <v>60</v>
      </c>
      <c r="E895" s="123">
        <v>5</v>
      </c>
      <c r="F895" s="96">
        <v>0.74</v>
      </c>
      <c r="G895" s="96">
        <v>467</v>
      </c>
      <c r="H895" s="124">
        <f t="shared" si="26"/>
        <v>0.14865497300000002</v>
      </c>
      <c r="I895" s="121" t="s">
        <v>238</v>
      </c>
    </row>
    <row r="896" spans="1:9" x14ac:dyDescent="0.2">
      <c r="A896" s="121" t="s">
        <v>244</v>
      </c>
      <c r="B896" s="93" t="s">
        <v>247</v>
      </c>
      <c r="C896" s="122" t="s">
        <v>30</v>
      </c>
      <c r="D896" s="122">
        <v>60</v>
      </c>
      <c r="E896" s="123">
        <v>7</v>
      </c>
      <c r="F896" s="96">
        <v>0.91</v>
      </c>
      <c r="G896" s="96">
        <v>626</v>
      </c>
      <c r="H896" s="124">
        <f t="shared" si="26"/>
        <v>0.19926769400000002</v>
      </c>
      <c r="I896" s="121" t="s">
        <v>238</v>
      </c>
    </row>
    <row r="897" spans="1:9" x14ac:dyDescent="0.2">
      <c r="A897" s="121" t="s">
        <v>244</v>
      </c>
      <c r="B897" s="93" t="s">
        <v>247</v>
      </c>
      <c r="C897" s="122" t="s">
        <v>30</v>
      </c>
      <c r="D897" s="122">
        <v>60</v>
      </c>
      <c r="E897" s="123">
        <v>10</v>
      </c>
      <c r="F897" s="96">
        <v>1.03</v>
      </c>
      <c r="G897" s="96">
        <v>749</v>
      </c>
      <c r="H897" s="124">
        <f t="shared" si="26"/>
        <v>0.238420931</v>
      </c>
      <c r="I897" s="121" t="s">
        <v>238</v>
      </c>
    </row>
    <row r="898" spans="1:9" x14ac:dyDescent="0.2">
      <c r="A898" s="111" t="s">
        <v>248</v>
      </c>
      <c r="B898" s="41" t="s">
        <v>249</v>
      </c>
      <c r="C898" s="113" t="s">
        <v>30</v>
      </c>
      <c r="D898" s="113">
        <v>60</v>
      </c>
      <c r="E898" s="114">
        <v>0</v>
      </c>
      <c r="F898" s="99">
        <v>0</v>
      </c>
      <c r="G898" s="99">
        <v>176</v>
      </c>
      <c r="H898" s="116">
        <f t="shared" ref="H898:H921" si="27">G898/1000*0.318319</f>
        <v>5.6024143999999998E-2</v>
      </c>
      <c r="I898" s="111" t="s">
        <v>238</v>
      </c>
    </row>
    <row r="899" spans="1:9" x14ac:dyDescent="0.2">
      <c r="A899" s="111" t="s">
        <v>248</v>
      </c>
      <c r="B899" s="41" t="s">
        <v>249</v>
      </c>
      <c r="C899" s="113" t="s">
        <v>30</v>
      </c>
      <c r="D899" s="113">
        <v>60</v>
      </c>
      <c r="E899" s="114">
        <v>1</v>
      </c>
      <c r="F899" s="99">
        <v>0.17</v>
      </c>
      <c r="G899" s="99">
        <v>165</v>
      </c>
      <c r="H899" s="116">
        <f t="shared" si="27"/>
        <v>5.2522635000000005E-2</v>
      </c>
      <c r="I899" s="111" t="s">
        <v>238</v>
      </c>
    </row>
    <row r="900" spans="1:9" x14ac:dyDescent="0.2">
      <c r="A900" s="111" t="s">
        <v>251</v>
      </c>
      <c r="B900" s="41" t="s">
        <v>249</v>
      </c>
      <c r="C900" s="113" t="s">
        <v>30</v>
      </c>
      <c r="D900" s="113">
        <v>60</v>
      </c>
      <c r="E900" s="114">
        <v>2</v>
      </c>
      <c r="F900" s="99">
        <v>0.33</v>
      </c>
      <c r="G900" s="99">
        <v>145</v>
      </c>
      <c r="H900" s="116">
        <f t="shared" si="27"/>
        <v>4.6156255E-2</v>
      </c>
      <c r="I900" s="111" t="s">
        <v>238</v>
      </c>
    </row>
    <row r="901" spans="1:9" x14ac:dyDescent="0.2">
      <c r="A901" s="111" t="s">
        <v>251</v>
      </c>
      <c r="B901" s="41" t="s">
        <v>249</v>
      </c>
      <c r="C901" s="113" t="s">
        <v>30</v>
      </c>
      <c r="D901" s="113">
        <v>60</v>
      </c>
      <c r="E901" s="114">
        <v>3</v>
      </c>
      <c r="F901" s="99">
        <v>0.48</v>
      </c>
      <c r="G901" s="99">
        <v>336</v>
      </c>
      <c r="H901" s="116">
        <f t="shared" si="27"/>
        <v>0.10695518400000001</v>
      </c>
      <c r="I901" s="111" t="s">
        <v>238</v>
      </c>
    </row>
    <row r="902" spans="1:9" x14ac:dyDescent="0.2">
      <c r="A902" s="111" t="s">
        <v>251</v>
      </c>
      <c r="B902" s="41" t="s">
        <v>249</v>
      </c>
      <c r="C902" s="113" t="s">
        <v>30</v>
      </c>
      <c r="D902" s="113">
        <v>60</v>
      </c>
      <c r="E902" s="114">
        <v>4</v>
      </c>
      <c r="F902" s="99">
        <v>0.63</v>
      </c>
      <c r="G902" s="99">
        <v>415</v>
      </c>
      <c r="H902" s="116">
        <f t="shared" si="27"/>
        <v>0.13210238499999999</v>
      </c>
      <c r="I902" s="111" t="s">
        <v>238</v>
      </c>
    </row>
    <row r="903" spans="1:9" x14ac:dyDescent="0.2">
      <c r="A903" s="111" t="s">
        <v>251</v>
      </c>
      <c r="B903" s="41" t="s">
        <v>249</v>
      </c>
      <c r="C903" s="113" t="s">
        <v>30</v>
      </c>
      <c r="D903" s="113">
        <v>60</v>
      </c>
      <c r="E903" s="114">
        <v>5</v>
      </c>
      <c r="F903" s="99">
        <v>0.77</v>
      </c>
      <c r="G903" s="99">
        <v>537</v>
      </c>
      <c r="H903" s="116">
        <f t="shared" si="27"/>
        <v>0.17093730300000001</v>
      </c>
      <c r="I903" s="111" t="s">
        <v>238</v>
      </c>
    </row>
    <row r="904" spans="1:9" x14ac:dyDescent="0.2">
      <c r="A904" s="111" t="s">
        <v>251</v>
      </c>
      <c r="B904" s="41" t="s">
        <v>249</v>
      </c>
      <c r="C904" s="113" t="s">
        <v>30</v>
      </c>
      <c r="D904" s="113">
        <v>60</v>
      </c>
      <c r="E904" s="114">
        <v>7</v>
      </c>
      <c r="F904" s="99">
        <v>0.94</v>
      </c>
      <c r="G904" s="99">
        <v>828</v>
      </c>
      <c r="H904" s="116">
        <f t="shared" si="27"/>
        <v>0.26356813200000001</v>
      </c>
      <c r="I904" s="111" t="s">
        <v>238</v>
      </c>
    </row>
    <row r="905" spans="1:9" x14ac:dyDescent="0.2">
      <c r="A905" s="111" t="s">
        <v>251</v>
      </c>
      <c r="B905" s="41" t="s">
        <v>249</v>
      </c>
      <c r="C905" s="113" t="s">
        <v>30</v>
      </c>
      <c r="D905" s="113">
        <v>60</v>
      </c>
      <c r="E905" s="114">
        <v>10</v>
      </c>
      <c r="F905" s="99">
        <v>1.05</v>
      </c>
      <c r="G905" s="99">
        <v>1178</v>
      </c>
      <c r="H905" s="116">
        <f t="shared" si="27"/>
        <v>0.37497978199999998</v>
      </c>
      <c r="I905" s="111" t="s">
        <v>238</v>
      </c>
    </row>
    <row r="906" spans="1:9" x14ac:dyDescent="0.2">
      <c r="A906" s="117" t="s">
        <v>255</v>
      </c>
      <c r="B906" s="76" t="s">
        <v>22</v>
      </c>
      <c r="C906" s="118" t="s">
        <v>30</v>
      </c>
      <c r="D906" s="118">
        <v>60</v>
      </c>
      <c r="E906" s="119">
        <v>0</v>
      </c>
      <c r="F906" s="101">
        <v>0</v>
      </c>
      <c r="G906" s="101">
        <v>118</v>
      </c>
      <c r="H906" s="120">
        <f t="shared" si="27"/>
        <v>3.7561641999999999E-2</v>
      </c>
      <c r="I906" s="117" t="s">
        <v>238</v>
      </c>
    </row>
    <row r="907" spans="1:9" x14ac:dyDescent="0.2">
      <c r="A907" s="117" t="s">
        <v>255</v>
      </c>
      <c r="B907" s="76" t="s">
        <v>21</v>
      </c>
      <c r="C907" s="118" t="s">
        <v>30</v>
      </c>
      <c r="D907" s="118">
        <v>60</v>
      </c>
      <c r="E907" s="119">
        <v>1</v>
      </c>
      <c r="F907" s="101">
        <v>0.16</v>
      </c>
      <c r="G907" s="101">
        <v>155</v>
      </c>
      <c r="H907" s="120">
        <f t="shared" si="27"/>
        <v>4.9339445000000003E-2</v>
      </c>
      <c r="I907" s="117" t="s">
        <v>238</v>
      </c>
    </row>
    <row r="908" spans="1:9" x14ac:dyDescent="0.2">
      <c r="A908" s="117" t="s">
        <v>254</v>
      </c>
      <c r="B908" s="76" t="s">
        <v>21</v>
      </c>
      <c r="C908" s="118" t="s">
        <v>30</v>
      </c>
      <c r="D908" s="118">
        <v>60</v>
      </c>
      <c r="E908" s="119">
        <v>2</v>
      </c>
      <c r="F908" s="101">
        <v>0.32</v>
      </c>
      <c r="G908" s="101">
        <v>196</v>
      </c>
      <c r="H908" s="120">
        <f t="shared" si="27"/>
        <v>6.2390524000000003E-2</v>
      </c>
      <c r="I908" s="117" t="s">
        <v>238</v>
      </c>
    </row>
    <row r="909" spans="1:9" x14ac:dyDescent="0.2">
      <c r="A909" s="117" t="s">
        <v>254</v>
      </c>
      <c r="B909" s="76" t="s">
        <v>21</v>
      </c>
      <c r="C909" s="118" t="s">
        <v>30</v>
      </c>
      <c r="D909" s="118">
        <v>60</v>
      </c>
      <c r="E909" s="119">
        <v>3</v>
      </c>
      <c r="F909" s="101">
        <v>0.46</v>
      </c>
      <c r="G909" s="101">
        <v>327</v>
      </c>
      <c r="H909" s="120">
        <f t="shared" si="27"/>
        <v>0.104090313</v>
      </c>
      <c r="I909" s="117" t="s">
        <v>238</v>
      </c>
    </row>
    <row r="910" spans="1:9" x14ac:dyDescent="0.2">
      <c r="A910" s="117" t="s">
        <v>254</v>
      </c>
      <c r="B910" s="76" t="s">
        <v>21</v>
      </c>
      <c r="C910" s="118" t="s">
        <v>30</v>
      </c>
      <c r="D910" s="118">
        <v>60</v>
      </c>
      <c r="E910" s="119">
        <v>4</v>
      </c>
      <c r="F910" s="101">
        <v>0.61</v>
      </c>
      <c r="G910" s="101">
        <v>447</v>
      </c>
      <c r="H910" s="120">
        <f t="shared" si="27"/>
        <v>0.14228859300000002</v>
      </c>
      <c r="I910" s="117" t="s">
        <v>238</v>
      </c>
    </row>
    <row r="911" spans="1:9" x14ac:dyDescent="0.2">
      <c r="A911" s="117" t="s">
        <v>254</v>
      </c>
      <c r="B911" s="76" t="s">
        <v>21</v>
      </c>
      <c r="C911" s="118" t="s">
        <v>30</v>
      </c>
      <c r="D911" s="118">
        <v>60</v>
      </c>
      <c r="E911" s="119">
        <v>5</v>
      </c>
      <c r="F911" s="101">
        <v>0.74</v>
      </c>
      <c r="G911" s="101">
        <v>547</v>
      </c>
      <c r="H911" s="120">
        <f t="shared" si="27"/>
        <v>0.17412049300000002</v>
      </c>
      <c r="I911" s="117" t="s">
        <v>238</v>
      </c>
    </row>
    <row r="912" spans="1:9" x14ac:dyDescent="0.2">
      <c r="A912" s="117" t="s">
        <v>254</v>
      </c>
      <c r="B912" s="76" t="s">
        <v>21</v>
      </c>
      <c r="C912" s="118" t="s">
        <v>30</v>
      </c>
      <c r="D912" s="118">
        <v>60</v>
      </c>
      <c r="E912" s="119">
        <v>7</v>
      </c>
      <c r="F912" s="101">
        <v>0.91</v>
      </c>
      <c r="G912" s="101">
        <v>718</v>
      </c>
      <c r="H912" s="120">
        <f t="shared" si="27"/>
        <v>0.22855304200000001</v>
      </c>
      <c r="I912" s="117" t="s">
        <v>238</v>
      </c>
    </row>
    <row r="913" spans="1:9" x14ac:dyDescent="0.2">
      <c r="A913" s="117" t="s">
        <v>254</v>
      </c>
      <c r="B913" s="76" t="s">
        <v>21</v>
      </c>
      <c r="C913" s="118" t="s">
        <v>30</v>
      </c>
      <c r="D913" s="118">
        <v>60</v>
      </c>
      <c r="E913" s="119">
        <v>10</v>
      </c>
      <c r="F913" s="101">
        <v>1.03</v>
      </c>
      <c r="G913" s="101">
        <v>950</v>
      </c>
      <c r="H913" s="120">
        <f t="shared" si="27"/>
        <v>0.30240305000000001</v>
      </c>
      <c r="I913" s="117" t="s">
        <v>238</v>
      </c>
    </row>
    <row r="914" spans="1:9" x14ac:dyDescent="0.2">
      <c r="A914" s="84" t="s">
        <v>209</v>
      </c>
      <c r="B914" s="32" t="s">
        <v>21</v>
      </c>
      <c r="C914" s="82" t="s">
        <v>9</v>
      </c>
      <c r="D914" s="82">
        <v>60</v>
      </c>
      <c r="E914" s="83">
        <v>0</v>
      </c>
      <c r="F914" s="31">
        <v>0</v>
      </c>
      <c r="G914" s="31">
        <v>17</v>
      </c>
      <c r="H914" s="35">
        <f t="shared" si="27"/>
        <v>5.4114230000000003E-3</v>
      </c>
      <c r="I914" s="84" t="s">
        <v>256</v>
      </c>
    </row>
    <row r="915" spans="1:9" x14ac:dyDescent="0.2">
      <c r="A915" s="84" t="s">
        <v>209</v>
      </c>
      <c r="B915" s="32" t="s">
        <v>21</v>
      </c>
      <c r="C915" s="82" t="s">
        <v>9</v>
      </c>
      <c r="D915" s="82">
        <v>60</v>
      </c>
      <c r="E915" s="83">
        <v>1</v>
      </c>
      <c r="F915" s="31">
        <v>0.15</v>
      </c>
      <c r="G915" s="31">
        <v>117</v>
      </c>
      <c r="H915" s="35">
        <f t="shared" si="27"/>
        <v>3.7243323000000002E-2</v>
      </c>
      <c r="I915" s="84" t="s">
        <v>256</v>
      </c>
    </row>
    <row r="916" spans="1:9" x14ac:dyDescent="0.2">
      <c r="A916" s="84" t="s">
        <v>209</v>
      </c>
      <c r="B916" s="32" t="s">
        <v>21</v>
      </c>
      <c r="C916" s="82" t="s">
        <v>9</v>
      </c>
      <c r="D916" s="82">
        <v>60</v>
      </c>
      <c r="E916" s="83">
        <v>2</v>
      </c>
      <c r="F916" s="31">
        <v>0.28999999999999998</v>
      </c>
      <c r="G916" s="31">
        <v>286</v>
      </c>
      <c r="H916" s="35">
        <f t="shared" si="27"/>
        <v>9.1039233999999997E-2</v>
      </c>
      <c r="I916" s="84" t="s">
        <v>256</v>
      </c>
    </row>
    <row r="917" spans="1:9" x14ac:dyDescent="0.2">
      <c r="A917" s="84" t="s">
        <v>209</v>
      </c>
      <c r="B917" s="32" t="s">
        <v>21</v>
      </c>
      <c r="C917" s="82" t="s">
        <v>9</v>
      </c>
      <c r="D917" s="82">
        <v>60</v>
      </c>
      <c r="E917" s="83">
        <v>3</v>
      </c>
      <c r="F917" s="31">
        <v>0.43</v>
      </c>
      <c r="G917" s="31">
        <v>407</v>
      </c>
      <c r="H917" s="35">
        <f t="shared" si="27"/>
        <v>0.12955583300000001</v>
      </c>
      <c r="I917" s="84" t="s">
        <v>256</v>
      </c>
    </row>
    <row r="918" spans="1:9" x14ac:dyDescent="0.2">
      <c r="A918" s="84" t="s">
        <v>209</v>
      </c>
      <c r="B918" s="32" t="s">
        <v>21</v>
      </c>
      <c r="C918" s="82" t="s">
        <v>9</v>
      </c>
      <c r="D918" s="82">
        <v>60</v>
      </c>
      <c r="E918" s="83">
        <v>4</v>
      </c>
      <c r="F918" s="31">
        <v>0.56000000000000005</v>
      </c>
      <c r="G918" s="31">
        <v>527</v>
      </c>
      <c r="H918" s="35">
        <f t="shared" si="27"/>
        <v>0.16775411300000001</v>
      </c>
      <c r="I918" s="84" t="s">
        <v>256</v>
      </c>
    </row>
    <row r="919" spans="1:9" x14ac:dyDescent="0.2">
      <c r="A919" s="84" t="s">
        <v>209</v>
      </c>
      <c r="B919" s="32" t="s">
        <v>21</v>
      </c>
      <c r="C919" s="82" t="s">
        <v>9</v>
      </c>
      <c r="D919" s="82">
        <v>60</v>
      </c>
      <c r="E919" s="83">
        <v>5</v>
      </c>
      <c r="F919" s="31">
        <v>0.69</v>
      </c>
      <c r="G919" s="31">
        <v>668</v>
      </c>
      <c r="H919" s="35">
        <f t="shared" si="27"/>
        <v>0.21263709200000003</v>
      </c>
      <c r="I919" s="84" t="s">
        <v>256</v>
      </c>
    </row>
    <row r="920" spans="1:9" x14ac:dyDescent="0.2">
      <c r="A920" s="84" t="s">
        <v>209</v>
      </c>
      <c r="B920" s="32" t="s">
        <v>21</v>
      </c>
      <c r="C920" s="82" t="s">
        <v>9</v>
      </c>
      <c r="D920" s="82">
        <v>60</v>
      </c>
      <c r="E920" s="83">
        <v>7</v>
      </c>
      <c r="F920" s="31">
        <v>0.84</v>
      </c>
      <c r="G920" s="31">
        <v>898</v>
      </c>
      <c r="H920" s="35">
        <f t="shared" si="27"/>
        <v>0.28585046200000003</v>
      </c>
      <c r="I920" s="84" t="s">
        <v>256</v>
      </c>
    </row>
    <row r="921" spans="1:9" x14ac:dyDescent="0.2">
      <c r="A921" s="84" t="s">
        <v>209</v>
      </c>
      <c r="B921" s="32" t="s">
        <v>21</v>
      </c>
      <c r="C921" s="82" t="s">
        <v>9</v>
      </c>
      <c r="D921" s="82">
        <v>60</v>
      </c>
      <c r="E921" s="83">
        <v>10</v>
      </c>
      <c r="F921" s="31">
        <v>0.94</v>
      </c>
      <c r="G921" s="31">
        <v>1028</v>
      </c>
      <c r="H921" s="35">
        <f t="shared" si="27"/>
        <v>0.327231932</v>
      </c>
      <c r="I921" s="84" t="s">
        <v>256</v>
      </c>
    </row>
    <row r="922" spans="1:9" x14ac:dyDescent="0.2">
      <c r="A922" s="58" t="s">
        <v>257</v>
      </c>
      <c r="B922" s="7" t="s">
        <v>21</v>
      </c>
      <c r="C922" s="56" t="s">
        <v>9</v>
      </c>
      <c r="D922" s="56">
        <v>60</v>
      </c>
      <c r="E922" s="57">
        <v>0</v>
      </c>
      <c r="F922" s="6">
        <v>0</v>
      </c>
      <c r="G922" s="6">
        <v>155</v>
      </c>
      <c r="H922" s="10">
        <f t="shared" ref="H922:H929" si="28">G922/1000*0.318319</f>
        <v>4.9339445000000003E-2</v>
      </c>
      <c r="I922" s="58" t="s">
        <v>258</v>
      </c>
    </row>
    <row r="923" spans="1:9" x14ac:dyDescent="0.2">
      <c r="A923" s="58" t="s">
        <v>257</v>
      </c>
      <c r="B923" s="7" t="s">
        <v>21</v>
      </c>
      <c r="C923" s="56" t="s">
        <v>9</v>
      </c>
      <c r="D923" s="56">
        <v>60</v>
      </c>
      <c r="E923" s="57">
        <v>1</v>
      </c>
      <c r="F923" s="6">
        <v>0.16</v>
      </c>
      <c r="G923" s="6">
        <v>226</v>
      </c>
      <c r="H923" s="10">
        <f t="shared" si="28"/>
        <v>7.194009400000001E-2</v>
      </c>
      <c r="I923" s="58" t="s">
        <v>258</v>
      </c>
    </row>
    <row r="924" spans="1:9" x14ac:dyDescent="0.2">
      <c r="A924" s="58" t="s">
        <v>257</v>
      </c>
      <c r="B924" s="7" t="s">
        <v>21</v>
      </c>
      <c r="C924" s="56" t="s">
        <v>9</v>
      </c>
      <c r="D924" s="56">
        <v>60</v>
      </c>
      <c r="E924" s="57">
        <v>2</v>
      </c>
      <c r="F924" s="6">
        <v>0.31</v>
      </c>
      <c r="G924" s="6">
        <v>346</v>
      </c>
      <c r="H924" s="10">
        <f t="shared" si="28"/>
        <v>0.110138374</v>
      </c>
      <c r="I924" s="58" t="s">
        <v>258</v>
      </c>
    </row>
    <row r="925" spans="1:9" x14ac:dyDescent="0.2">
      <c r="A925" s="58" t="s">
        <v>257</v>
      </c>
      <c r="B925" s="7" t="s">
        <v>21</v>
      </c>
      <c r="C925" s="56" t="s">
        <v>9</v>
      </c>
      <c r="D925" s="56">
        <v>60</v>
      </c>
      <c r="E925" s="57">
        <v>3</v>
      </c>
      <c r="F925" s="6">
        <v>0.46</v>
      </c>
      <c r="G925" s="6">
        <v>456</v>
      </c>
      <c r="H925" s="10">
        <f t="shared" si="28"/>
        <v>0.14515346400000001</v>
      </c>
      <c r="I925" s="58" t="s">
        <v>258</v>
      </c>
    </row>
    <row r="926" spans="1:9" x14ac:dyDescent="0.2">
      <c r="A926" s="58" t="s">
        <v>257</v>
      </c>
      <c r="B926" s="7" t="s">
        <v>21</v>
      </c>
      <c r="C926" s="56" t="s">
        <v>9</v>
      </c>
      <c r="D926" s="56">
        <v>60</v>
      </c>
      <c r="E926" s="57">
        <v>4</v>
      </c>
      <c r="F926" s="6">
        <v>0.6</v>
      </c>
      <c r="G926" s="6">
        <v>577</v>
      </c>
      <c r="H926" s="10">
        <f t="shared" si="28"/>
        <v>0.18367006299999999</v>
      </c>
      <c r="I926" s="58" t="s">
        <v>258</v>
      </c>
    </row>
    <row r="927" spans="1:9" x14ac:dyDescent="0.2">
      <c r="A927" s="58" t="s">
        <v>257</v>
      </c>
      <c r="B927" s="7" t="s">
        <v>21</v>
      </c>
      <c r="C927" s="56" t="s">
        <v>9</v>
      </c>
      <c r="D927" s="56">
        <v>60</v>
      </c>
      <c r="E927" s="57">
        <v>5</v>
      </c>
      <c r="F927" s="6">
        <v>0.73</v>
      </c>
      <c r="G927" s="6">
        <v>707</v>
      </c>
      <c r="H927" s="10">
        <f t="shared" si="28"/>
        <v>0.225051533</v>
      </c>
      <c r="I927" s="58" t="s">
        <v>258</v>
      </c>
    </row>
    <row r="928" spans="1:9" x14ac:dyDescent="0.2">
      <c r="A928" s="58" t="s">
        <v>257</v>
      </c>
      <c r="B928" s="7" t="s">
        <v>21</v>
      </c>
      <c r="C928" s="56" t="s">
        <v>9</v>
      </c>
      <c r="D928" s="56">
        <v>60</v>
      </c>
      <c r="E928" s="57">
        <v>7</v>
      </c>
      <c r="F928" s="6">
        <v>0.91</v>
      </c>
      <c r="G928" s="6">
        <v>897</v>
      </c>
      <c r="H928" s="10">
        <f t="shared" si="28"/>
        <v>0.28553214300000002</v>
      </c>
      <c r="I928" s="58" t="s">
        <v>258</v>
      </c>
    </row>
    <row r="929" spans="1:9" x14ac:dyDescent="0.2">
      <c r="A929" s="58" t="s">
        <v>257</v>
      </c>
      <c r="B929" s="7" t="s">
        <v>21</v>
      </c>
      <c r="C929" s="56" t="s">
        <v>9</v>
      </c>
      <c r="D929" s="56">
        <v>60</v>
      </c>
      <c r="E929" s="57">
        <v>10</v>
      </c>
      <c r="F929" s="6">
        <v>1</v>
      </c>
      <c r="G929" s="6">
        <v>1030</v>
      </c>
      <c r="H929" s="10">
        <f t="shared" si="28"/>
        <v>0.32786857000000003</v>
      </c>
      <c r="I929" s="58" t="s">
        <v>258</v>
      </c>
    </row>
    <row r="930" spans="1:9" x14ac:dyDescent="0.2">
      <c r="A930" s="85" t="s">
        <v>203</v>
      </c>
      <c r="B930" s="19" t="s">
        <v>21</v>
      </c>
      <c r="C930" s="86" t="s">
        <v>9</v>
      </c>
      <c r="D930" s="86">
        <v>60</v>
      </c>
      <c r="E930" s="87">
        <v>0</v>
      </c>
      <c r="F930" s="18">
        <v>0</v>
      </c>
      <c r="G930" s="18">
        <v>97</v>
      </c>
      <c r="H930" s="22">
        <f t="shared" ref="H930:H953" si="29">G930/1000*0.318319</f>
        <v>3.0876943000000004E-2</v>
      </c>
      <c r="I930" s="85" t="s">
        <v>258</v>
      </c>
    </row>
    <row r="931" spans="1:9" x14ac:dyDescent="0.2">
      <c r="A931" s="85" t="s">
        <v>203</v>
      </c>
      <c r="B931" s="19" t="s">
        <v>21</v>
      </c>
      <c r="C931" s="86" t="s">
        <v>9</v>
      </c>
      <c r="D931" s="86">
        <v>60</v>
      </c>
      <c r="E931" s="87">
        <v>1</v>
      </c>
      <c r="F931" s="18">
        <v>0.14000000000000001</v>
      </c>
      <c r="G931" s="18">
        <v>155</v>
      </c>
      <c r="H931" s="22">
        <f t="shared" si="29"/>
        <v>4.9339445000000003E-2</v>
      </c>
      <c r="I931" s="85" t="s">
        <v>258</v>
      </c>
    </row>
    <row r="932" spans="1:9" x14ac:dyDescent="0.2">
      <c r="A932" s="85" t="s">
        <v>203</v>
      </c>
      <c r="B932" s="19" t="s">
        <v>21</v>
      </c>
      <c r="C932" s="86" t="s">
        <v>9</v>
      </c>
      <c r="D932" s="86">
        <v>60</v>
      </c>
      <c r="E932" s="87">
        <v>2</v>
      </c>
      <c r="F932" s="18">
        <v>0.3</v>
      </c>
      <c r="G932" s="18">
        <v>305</v>
      </c>
      <c r="H932" s="22">
        <f t="shared" si="29"/>
        <v>9.7087295000000004E-2</v>
      </c>
      <c r="I932" s="85" t="s">
        <v>258</v>
      </c>
    </row>
    <row r="933" spans="1:9" x14ac:dyDescent="0.2">
      <c r="A933" s="85" t="s">
        <v>203</v>
      </c>
      <c r="B933" s="19" t="s">
        <v>21</v>
      </c>
      <c r="C933" s="86" t="s">
        <v>9</v>
      </c>
      <c r="D933" s="86">
        <v>60</v>
      </c>
      <c r="E933" s="87">
        <v>3</v>
      </c>
      <c r="F933" s="18">
        <v>0.44</v>
      </c>
      <c r="G933" s="18">
        <v>385</v>
      </c>
      <c r="H933" s="22">
        <f t="shared" si="29"/>
        <v>0.12255281500000001</v>
      </c>
      <c r="I933" s="85" t="s">
        <v>258</v>
      </c>
    </row>
    <row r="934" spans="1:9" x14ac:dyDescent="0.2">
      <c r="A934" s="85" t="s">
        <v>203</v>
      </c>
      <c r="B934" s="19" t="s">
        <v>21</v>
      </c>
      <c r="C934" s="86" t="s">
        <v>9</v>
      </c>
      <c r="D934" s="86">
        <v>60</v>
      </c>
      <c r="E934" s="87">
        <v>4</v>
      </c>
      <c r="F934" s="18">
        <v>0.57999999999999996</v>
      </c>
      <c r="G934" s="18">
        <v>467</v>
      </c>
      <c r="H934" s="22">
        <f t="shared" si="29"/>
        <v>0.14865497300000002</v>
      </c>
      <c r="I934" s="85" t="s">
        <v>258</v>
      </c>
    </row>
    <row r="935" spans="1:9" x14ac:dyDescent="0.2">
      <c r="A935" s="85" t="s">
        <v>203</v>
      </c>
      <c r="B935" s="19" t="s">
        <v>21</v>
      </c>
      <c r="C935" s="86" t="s">
        <v>9</v>
      </c>
      <c r="D935" s="86">
        <v>60</v>
      </c>
      <c r="E935" s="87">
        <v>5</v>
      </c>
      <c r="F935" s="18">
        <v>0.71</v>
      </c>
      <c r="G935" s="18">
        <v>548</v>
      </c>
      <c r="H935" s="22">
        <f t="shared" si="29"/>
        <v>0.17443881200000003</v>
      </c>
      <c r="I935" s="85" t="s">
        <v>258</v>
      </c>
    </row>
    <row r="936" spans="1:9" x14ac:dyDescent="0.2">
      <c r="A936" s="85" t="s">
        <v>203</v>
      </c>
      <c r="B936" s="19" t="s">
        <v>21</v>
      </c>
      <c r="C936" s="86" t="s">
        <v>9</v>
      </c>
      <c r="D936" s="86">
        <v>60</v>
      </c>
      <c r="E936" s="87">
        <v>7</v>
      </c>
      <c r="F936" s="18">
        <v>0.89</v>
      </c>
      <c r="G936" s="18">
        <v>697</v>
      </c>
      <c r="H936" s="22">
        <f t="shared" si="29"/>
        <v>0.221868343</v>
      </c>
      <c r="I936" s="85" t="s">
        <v>258</v>
      </c>
    </row>
    <row r="937" spans="1:9" x14ac:dyDescent="0.2">
      <c r="A937" s="85" t="s">
        <v>203</v>
      </c>
      <c r="B937" s="19" t="s">
        <v>21</v>
      </c>
      <c r="C937" s="86" t="s">
        <v>9</v>
      </c>
      <c r="D937" s="86">
        <v>60</v>
      </c>
      <c r="E937" s="87">
        <v>10</v>
      </c>
      <c r="F937" s="18">
        <v>1</v>
      </c>
      <c r="G937" s="18">
        <v>830</v>
      </c>
      <c r="H937" s="22">
        <f t="shared" si="29"/>
        <v>0.26420476999999998</v>
      </c>
      <c r="I937" s="85" t="s">
        <v>258</v>
      </c>
    </row>
    <row r="938" spans="1:9" x14ac:dyDescent="0.2">
      <c r="A938" s="117" t="s">
        <v>255</v>
      </c>
      <c r="B938" s="76" t="s">
        <v>22</v>
      </c>
      <c r="C938" s="118" t="s">
        <v>9</v>
      </c>
      <c r="D938" s="118">
        <v>60</v>
      </c>
      <c r="E938" s="119">
        <v>0</v>
      </c>
      <c r="F938" s="101">
        <v>0</v>
      </c>
      <c r="G938" s="101">
        <v>20</v>
      </c>
      <c r="H938" s="120">
        <f t="shared" si="29"/>
        <v>6.3663800000000005E-3</v>
      </c>
      <c r="I938" s="117" t="s">
        <v>258</v>
      </c>
    </row>
    <row r="939" spans="1:9" x14ac:dyDescent="0.2">
      <c r="A939" s="117" t="s">
        <v>255</v>
      </c>
      <c r="B939" s="76" t="s">
        <v>21</v>
      </c>
      <c r="C939" s="118" t="s">
        <v>9</v>
      </c>
      <c r="D939" s="118">
        <v>60</v>
      </c>
      <c r="E939" s="119">
        <v>1</v>
      </c>
      <c r="F939" s="101">
        <v>0.15</v>
      </c>
      <c r="G939" s="101">
        <v>66</v>
      </c>
      <c r="H939" s="120">
        <f t="shared" si="29"/>
        <v>2.1009054000000003E-2</v>
      </c>
      <c r="I939" s="117" t="s">
        <v>258</v>
      </c>
    </row>
    <row r="940" spans="1:9" x14ac:dyDescent="0.2">
      <c r="A940" s="117" t="s">
        <v>254</v>
      </c>
      <c r="B940" s="76" t="s">
        <v>21</v>
      </c>
      <c r="C940" s="118" t="s">
        <v>9</v>
      </c>
      <c r="D940" s="118">
        <v>60</v>
      </c>
      <c r="E940" s="119">
        <v>2</v>
      </c>
      <c r="F940" s="101">
        <v>0.28999999999999998</v>
      </c>
      <c r="G940" s="101">
        <v>227</v>
      </c>
      <c r="H940" s="120">
        <f t="shared" si="29"/>
        <v>7.2258413000000007E-2</v>
      </c>
      <c r="I940" s="117" t="s">
        <v>258</v>
      </c>
    </row>
    <row r="941" spans="1:9" x14ac:dyDescent="0.2">
      <c r="A941" s="117" t="s">
        <v>254</v>
      </c>
      <c r="B941" s="76" t="s">
        <v>21</v>
      </c>
      <c r="C941" s="118" t="s">
        <v>9</v>
      </c>
      <c r="D941" s="118">
        <v>60</v>
      </c>
      <c r="E941" s="119">
        <v>3</v>
      </c>
      <c r="F941" s="101">
        <v>0.43</v>
      </c>
      <c r="G941" s="101">
        <v>386</v>
      </c>
      <c r="H941" s="120">
        <f t="shared" si="29"/>
        <v>0.12287113400000001</v>
      </c>
      <c r="I941" s="117" t="s">
        <v>258</v>
      </c>
    </row>
    <row r="942" spans="1:9" x14ac:dyDescent="0.2">
      <c r="A942" s="117" t="s">
        <v>254</v>
      </c>
      <c r="B942" s="76" t="s">
        <v>21</v>
      </c>
      <c r="C942" s="118" t="s">
        <v>9</v>
      </c>
      <c r="D942" s="118">
        <v>60</v>
      </c>
      <c r="E942" s="119">
        <v>4</v>
      </c>
      <c r="F942" s="101">
        <v>0.56999999999999995</v>
      </c>
      <c r="G942" s="101">
        <v>498</v>
      </c>
      <c r="H942" s="120">
        <f t="shared" si="29"/>
        <v>0.15852286200000001</v>
      </c>
      <c r="I942" s="117" t="s">
        <v>258</v>
      </c>
    </row>
    <row r="943" spans="1:9" x14ac:dyDescent="0.2">
      <c r="A943" s="117" t="s">
        <v>254</v>
      </c>
      <c r="B943" s="76" t="s">
        <v>21</v>
      </c>
      <c r="C943" s="118" t="s">
        <v>9</v>
      </c>
      <c r="D943" s="118">
        <v>60</v>
      </c>
      <c r="E943" s="119">
        <v>5</v>
      </c>
      <c r="F943" s="101">
        <v>0.71</v>
      </c>
      <c r="G943" s="101">
        <v>609</v>
      </c>
      <c r="H943" s="120">
        <f t="shared" si="29"/>
        <v>0.193856271</v>
      </c>
      <c r="I943" s="117" t="s">
        <v>258</v>
      </c>
    </row>
    <row r="944" spans="1:9" x14ac:dyDescent="0.2">
      <c r="A944" s="117" t="s">
        <v>254</v>
      </c>
      <c r="B944" s="76" t="s">
        <v>21</v>
      </c>
      <c r="C944" s="118" t="s">
        <v>9</v>
      </c>
      <c r="D944" s="118">
        <v>60</v>
      </c>
      <c r="E944" s="119">
        <v>7</v>
      </c>
      <c r="F944" s="101">
        <v>0.88</v>
      </c>
      <c r="G944" s="101">
        <v>767</v>
      </c>
      <c r="H944" s="120">
        <f t="shared" si="29"/>
        <v>0.24415067300000001</v>
      </c>
      <c r="I944" s="117" t="s">
        <v>258</v>
      </c>
    </row>
    <row r="945" spans="1:9" x14ac:dyDescent="0.2">
      <c r="A945" s="117" t="s">
        <v>254</v>
      </c>
      <c r="B945" s="76" t="s">
        <v>21</v>
      </c>
      <c r="C945" s="118" t="s">
        <v>9</v>
      </c>
      <c r="D945" s="118">
        <v>60</v>
      </c>
      <c r="E945" s="119">
        <v>10</v>
      </c>
      <c r="F945" s="101">
        <v>1</v>
      </c>
      <c r="G945" s="101">
        <v>928</v>
      </c>
      <c r="H945" s="120">
        <f t="shared" si="29"/>
        <v>0.29540003200000003</v>
      </c>
      <c r="I945" s="117" t="s">
        <v>258</v>
      </c>
    </row>
    <row r="946" spans="1:9" x14ac:dyDescent="0.2">
      <c r="A946" s="84" t="s">
        <v>66</v>
      </c>
      <c r="B946" s="32" t="s">
        <v>52</v>
      </c>
      <c r="C946" s="82" t="s">
        <v>9</v>
      </c>
      <c r="D946" s="82">
        <v>60</v>
      </c>
      <c r="E946" s="83">
        <v>0</v>
      </c>
      <c r="F946" s="31">
        <v>0</v>
      </c>
      <c r="G946" s="31">
        <v>195</v>
      </c>
      <c r="H946" s="35">
        <f t="shared" si="29"/>
        <v>6.2072205000000005E-2</v>
      </c>
      <c r="I946" s="84" t="s">
        <v>258</v>
      </c>
    </row>
    <row r="947" spans="1:9" x14ac:dyDescent="0.2">
      <c r="A947" s="84" t="s">
        <v>66</v>
      </c>
      <c r="B947" s="32" t="s">
        <v>52</v>
      </c>
      <c r="C947" s="82" t="s">
        <v>9</v>
      </c>
      <c r="D947" s="82">
        <v>60</v>
      </c>
      <c r="E947" s="83">
        <v>1</v>
      </c>
      <c r="F947" s="31">
        <v>0.15</v>
      </c>
      <c r="G947" s="31">
        <v>247</v>
      </c>
      <c r="H947" s="35">
        <f t="shared" si="29"/>
        <v>7.8624792999999998E-2</v>
      </c>
      <c r="I947" s="84" t="s">
        <v>258</v>
      </c>
    </row>
    <row r="948" spans="1:9" x14ac:dyDescent="0.2">
      <c r="A948" s="84" t="s">
        <v>184</v>
      </c>
      <c r="B948" s="32" t="s">
        <v>52</v>
      </c>
      <c r="C948" s="82" t="s">
        <v>9</v>
      </c>
      <c r="D948" s="82">
        <v>60</v>
      </c>
      <c r="E948" s="83">
        <v>2</v>
      </c>
      <c r="F948" s="31">
        <v>0.3</v>
      </c>
      <c r="G948" s="31">
        <v>395</v>
      </c>
      <c r="H948" s="35">
        <f t="shared" si="29"/>
        <v>0.12573600500000001</v>
      </c>
      <c r="I948" s="84" t="s">
        <v>258</v>
      </c>
    </row>
    <row r="949" spans="1:9" x14ac:dyDescent="0.2">
      <c r="A949" s="84" t="s">
        <v>184</v>
      </c>
      <c r="B949" s="32" t="s">
        <v>52</v>
      </c>
      <c r="C949" s="82" t="s">
        <v>9</v>
      </c>
      <c r="D949" s="82">
        <v>60</v>
      </c>
      <c r="E949" s="83">
        <v>3</v>
      </c>
      <c r="F949" s="31">
        <v>0.44</v>
      </c>
      <c r="G949" s="31">
        <v>546</v>
      </c>
      <c r="H949" s="35">
        <f t="shared" si="29"/>
        <v>0.17380217400000003</v>
      </c>
      <c r="I949" s="84" t="s">
        <v>258</v>
      </c>
    </row>
    <row r="950" spans="1:9" x14ac:dyDescent="0.2">
      <c r="A950" s="84" t="s">
        <v>184</v>
      </c>
      <c r="B950" s="32" t="s">
        <v>52</v>
      </c>
      <c r="C950" s="82" t="s">
        <v>9</v>
      </c>
      <c r="D950" s="82">
        <v>60</v>
      </c>
      <c r="E950" s="83">
        <v>4</v>
      </c>
      <c r="F950" s="31">
        <v>0.57999999999999996</v>
      </c>
      <c r="G950" s="31">
        <v>748</v>
      </c>
      <c r="H950" s="35">
        <f t="shared" si="29"/>
        <v>0.23810261200000002</v>
      </c>
      <c r="I950" s="84" t="s">
        <v>258</v>
      </c>
    </row>
    <row r="951" spans="1:9" x14ac:dyDescent="0.2">
      <c r="A951" s="84" t="s">
        <v>184</v>
      </c>
      <c r="B951" s="32" t="s">
        <v>52</v>
      </c>
      <c r="C951" s="82" t="s">
        <v>9</v>
      </c>
      <c r="D951" s="82">
        <v>60</v>
      </c>
      <c r="E951" s="83">
        <v>5</v>
      </c>
      <c r="F951" s="31">
        <v>0.72</v>
      </c>
      <c r="G951" s="31">
        <v>1006</v>
      </c>
      <c r="H951" s="35">
        <f t="shared" si="29"/>
        <v>0.32022891400000003</v>
      </c>
      <c r="I951" s="84" t="s">
        <v>258</v>
      </c>
    </row>
    <row r="952" spans="1:9" x14ac:dyDescent="0.2">
      <c r="A952" s="84" t="s">
        <v>184</v>
      </c>
      <c r="B952" s="32" t="s">
        <v>52</v>
      </c>
      <c r="C952" s="82" t="s">
        <v>9</v>
      </c>
      <c r="D952" s="82">
        <v>60</v>
      </c>
      <c r="E952" s="83">
        <v>7</v>
      </c>
      <c r="F952" s="31">
        <v>0.9</v>
      </c>
      <c r="G952" s="31">
        <v>1590</v>
      </c>
      <c r="H952" s="35">
        <f t="shared" si="29"/>
        <v>0.50612721000000005</v>
      </c>
      <c r="I952" s="84" t="s">
        <v>258</v>
      </c>
    </row>
    <row r="953" spans="1:9" x14ac:dyDescent="0.2">
      <c r="A953" s="84" t="s">
        <v>184</v>
      </c>
      <c r="B953" s="32" t="s">
        <v>52</v>
      </c>
      <c r="C953" s="82" t="s">
        <v>9</v>
      </c>
      <c r="D953" s="82">
        <v>60</v>
      </c>
      <c r="E953" s="83">
        <v>10</v>
      </c>
      <c r="F953" s="31">
        <v>1.01</v>
      </c>
      <c r="G953" s="31">
        <v>1782</v>
      </c>
      <c r="H953" s="35">
        <f t="shared" si="29"/>
        <v>0.56724445800000001</v>
      </c>
      <c r="I953" s="84" t="s">
        <v>258</v>
      </c>
    </row>
  </sheetData>
  <autoFilter ref="A1:I953" xr:uid="{00000000-0001-0000-0000-000000000000}"/>
  <sortState xmlns:xlrd2="http://schemas.microsoft.com/office/spreadsheetml/2017/richdata2" ref="A2:I163">
    <sortCondition ref="I1:I163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E7FB-486F-48B6-8752-BC50C1B73335}">
  <dimension ref="A1"/>
  <sheetViews>
    <sheetView topLeftCell="A19" workbookViewId="0">
      <selection activeCell="R32" sqref="R32"/>
    </sheetView>
  </sheetViews>
  <sheetFormatPr defaultRowHeight="14.25" x14ac:dyDescent="0.2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49E-4352-49A5-A081-F3BFF4884345}">
  <dimension ref="A1:C144"/>
  <sheetViews>
    <sheetView topLeftCell="A4" zoomScale="145" zoomScaleNormal="145" workbookViewId="0">
      <selection activeCell="B4" sqref="B4"/>
    </sheetView>
  </sheetViews>
  <sheetFormatPr defaultRowHeight="14.25" x14ac:dyDescent="0.2"/>
  <cols>
    <col min="1" max="1" width="29.625" customWidth="1"/>
    <col min="2" max="2" width="48.375" customWidth="1"/>
  </cols>
  <sheetData>
    <row r="1" spans="1:3" x14ac:dyDescent="0.2">
      <c r="A1" s="38" t="s">
        <v>12</v>
      </c>
    </row>
    <row r="2" spans="1:3" x14ac:dyDescent="0.2">
      <c r="A2" s="37" t="s">
        <v>60</v>
      </c>
      <c r="B2" s="37" t="s">
        <v>41</v>
      </c>
      <c r="C2" s="37"/>
    </row>
    <row r="3" spans="1:3" x14ac:dyDescent="0.2">
      <c r="A3" s="37" t="s">
        <v>15</v>
      </c>
      <c r="B3" s="37" t="s">
        <v>17</v>
      </c>
      <c r="C3" s="37"/>
    </row>
    <row r="4" spans="1:3" x14ac:dyDescent="0.2">
      <c r="A4" s="37" t="s">
        <v>56</v>
      </c>
      <c r="B4" s="37" t="s">
        <v>21</v>
      </c>
    </row>
    <row r="5" spans="1:3" x14ac:dyDescent="0.2">
      <c r="A5" s="39" t="s">
        <v>57</v>
      </c>
      <c r="B5" s="39" t="s">
        <v>29</v>
      </c>
    </row>
    <row r="6" spans="1:3" x14ac:dyDescent="0.2">
      <c r="A6" s="39" t="s">
        <v>58</v>
      </c>
      <c r="B6" s="39" t="s">
        <v>35</v>
      </c>
    </row>
    <row r="7" spans="1:3" x14ac:dyDescent="0.2">
      <c r="A7" s="39" t="s">
        <v>59</v>
      </c>
      <c r="B7" s="39" t="s">
        <v>38</v>
      </c>
    </row>
    <row r="8" spans="1:3" x14ac:dyDescent="0.2">
      <c r="A8" s="37" t="s">
        <v>61</v>
      </c>
      <c r="B8" s="37" t="s">
        <v>47</v>
      </c>
    </row>
    <row r="9" spans="1:3" x14ac:dyDescent="0.2">
      <c r="A9" s="37" t="s">
        <v>62</v>
      </c>
      <c r="B9" s="37" t="s">
        <v>50</v>
      </c>
    </row>
    <row r="10" spans="1:3" x14ac:dyDescent="0.2">
      <c r="A10" s="37" t="s">
        <v>63</v>
      </c>
      <c r="B10" s="37" t="s">
        <v>52</v>
      </c>
    </row>
    <row r="11" spans="1:3" x14ac:dyDescent="0.2">
      <c r="A11" s="37" t="s">
        <v>64</v>
      </c>
      <c r="B11" s="37" t="s">
        <v>55</v>
      </c>
    </row>
    <row r="12" spans="1:3" x14ac:dyDescent="0.2">
      <c r="A12" s="37" t="s">
        <v>72</v>
      </c>
      <c r="B12" s="37" t="s">
        <v>71</v>
      </c>
    </row>
    <row r="13" spans="1:3" x14ac:dyDescent="0.2">
      <c r="A13" s="37" t="s">
        <v>75</v>
      </c>
      <c r="B13" s="37" t="s">
        <v>74</v>
      </c>
    </row>
    <row r="14" spans="1:3" x14ac:dyDescent="0.2">
      <c r="A14" s="39" t="s">
        <v>78</v>
      </c>
      <c r="B14" s="39" t="s">
        <v>77</v>
      </c>
    </row>
    <row r="15" spans="1:3" x14ac:dyDescent="0.2">
      <c r="A15" s="37" t="s">
        <v>81</v>
      </c>
      <c r="B15" s="37" t="s">
        <v>80</v>
      </c>
    </row>
    <row r="16" spans="1:3" x14ac:dyDescent="0.2">
      <c r="A16" s="37" t="s">
        <v>86</v>
      </c>
      <c r="B16" s="37" t="s">
        <v>85</v>
      </c>
    </row>
    <row r="17" spans="1:2" x14ac:dyDescent="0.2">
      <c r="A17" s="37" t="s">
        <v>82</v>
      </c>
      <c r="B17" s="37" t="s">
        <v>89</v>
      </c>
    </row>
    <row r="18" spans="1:2" x14ac:dyDescent="0.2">
      <c r="A18" s="37" t="s">
        <v>83</v>
      </c>
      <c r="B18" s="37" t="s">
        <v>91</v>
      </c>
    </row>
    <row r="19" spans="1:2" x14ac:dyDescent="0.2">
      <c r="A19" s="37" t="s">
        <v>95</v>
      </c>
      <c r="B19" s="37" t="s">
        <v>94</v>
      </c>
    </row>
    <row r="20" spans="1:2" x14ac:dyDescent="0.2">
      <c r="A20" s="37" t="s">
        <v>103</v>
      </c>
      <c r="B20" s="37" t="s">
        <v>102</v>
      </c>
    </row>
    <row r="21" spans="1:2" x14ac:dyDescent="0.2">
      <c r="A21" s="37" t="s">
        <v>105</v>
      </c>
      <c r="B21" s="37" t="s">
        <v>104</v>
      </c>
    </row>
    <row r="22" spans="1:2" x14ac:dyDescent="0.2">
      <c r="A22" s="37" t="s">
        <v>107</v>
      </c>
      <c r="B22" s="37" t="s">
        <v>106</v>
      </c>
    </row>
    <row r="23" spans="1:2" x14ac:dyDescent="0.2">
      <c r="A23" s="37" t="s">
        <v>109</v>
      </c>
      <c r="B23" s="37" t="s">
        <v>108</v>
      </c>
    </row>
    <row r="24" spans="1:2" x14ac:dyDescent="0.2">
      <c r="A24" s="37" t="s">
        <v>111</v>
      </c>
      <c r="B24" s="37" t="s">
        <v>113</v>
      </c>
    </row>
    <row r="25" spans="1:2" x14ac:dyDescent="0.2">
      <c r="A25" s="39" t="s">
        <v>116</v>
      </c>
      <c r="B25" s="39" t="s">
        <v>114</v>
      </c>
    </row>
    <row r="26" spans="1:2" x14ac:dyDescent="0.2">
      <c r="A26" s="37" t="s">
        <v>121</v>
      </c>
      <c r="B26" s="37" t="s">
        <v>122</v>
      </c>
    </row>
    <row r="27" spans="1:2" x14ac:dyDescent="0.2">
      <c r="A27" s="37" t="s">
        <v>124</v>
      </c>
      <c r="B27" s="37" t="s">
        <v>123</v>
      </c>
    </row>
    <row r="28" spans="1:2" x14ac:dyDescent="0.2">
      <c r="A28" s="37" t="s">
        <v>126</v>
      </c>
      <c r="B28" s="37" t="s">
        <v>125</v>
      </c>
    </row>
    <row r="29" spans="1:2" x14ac:dyDescent="0.2">
      <c r="A29" s="37" t="s">
        <v>128</v>
      </c>
      <c r="B29" s="37" t="s">
        <v>127</v>
      </c>
    </row>
    <row r="30" spans="1:2" x14ac:dyDescent="0.2">
      <c r="A30" s="37" t="s">
        <v>131</v>
      </c>
      <c r="B30" s="37" t="s">
        <v>129</v>
      </c>
    </row>
    <row r="31" spans="1:2" x14ac:dyDescent="0.2">
      <c r="A31" s="37" t="s">
        <v>134</v>
      </c>
      <c r="B31" s="37" t="s">
        <v>135</v>
      </c>
    </row>
    <row r="32" spans="1:2" x14ac:dyDescent="0.2">
      <c r="A32" s="37" t="s">
        <v>139</v>
      </c>
      <c r="B32" s="37" t="s">
        <v>141</v>
      </c>
    </row>
    <row r="33" spans="1:2" x14ac:dyDescent="0.2">
      <c r="A33" s="37" t="s">
        <v>143</v>
      </c>
      <c r="B33" s="37" t="s">
        <v>144</v>
      </c>
    </row>
    <row r="34" spans="1:2" x14ac:dyDescent="0.2">
      <c r="A34" s="37" t="s">
        <v>146</v>
      </c>
      <c r="B34" s="37" t="s">
        <v>147</v>
      </c>
    </row>
    <row r="35" spans="1:2" x14ac:dyDescent="0.2">
      <c r="A35" s="37" t="s">
        <v>150</v>
      </c>
      <c r="B35" s="37" t="s">
        <v>153</v>
      </c>
    </row>
    <row r="36" spans="1:2" x14ac:dyDescent="0.2">
      <c r="A36" s="37" t="s">
        <v>157</v>
      </c>
      <c r="B36" s="129" t="s">
        <v>155</v>
      </c>
    </row>
    <row r="37" spans="1:2" x14ac:dyDescent="0.2">
      <c r="A37" s="37" t="s">
        <v>154</v>
      </c>
      <c r="B37" s="37" t="s">
        <v>156</v>
      </c>
    </row>
    <row r="38" spans="1:2" x14ac:dyDescent="0.2">
      <c r="A38" s="37" t="s">
        <v>160</v>
      </c>
      <c r="B38" s="129" t="s">
        <v>161</v>
      </c>
    </row>
    <row r="39" spans="1:2" x14ac:dyDescent="0.2">
      <c r="A39" s="37" t="s">
        <v>174</v>
      </c>
      <c r="B39" s="37" t="s">
        <v>175</v>
      </c>
    </row>
    <row r="40" spans="1:2" x14ac:dyDescent="0.2">
      <c r="A40" s="37" t="s">
        <v>190</v>
      </c>
      <c r="B40" s="37" t="s">
        <v>191</v>
      </c>
    </row>
    <row r="41" spans="1:2" x14ac:dyDescent="0.2">
      <c r="A41" s="37" t="s">
        <v>192</v>
      </c>
      <c r="B41" s="37" t="s">
        <v>195</v>
      </c>
    </row>
    <row r="42" spans="1:2" x14ac:dyDescent="0.2">
      <c r="A42" s="37" t="s">
        <v>194</v>
      </c>
      <c r="B42" s="37" t="s">
        <v>193</v>
      </c>
    </row>
    <row r="43" spans="1:2" x14ac:dyDescent="0.2">
      <c r="A43" s="37" t="s">
        <v>199</v>
      </c>
      <c r="B43" s="37" t="s">
        <v>200</v>
      </c>
    </row>
    <row r="44" spans="1:2" x14ac:dyDescent="0.2">
      <c r="A44" s="37" t="s">
        <v>201</v>
      </c>
      <c r="B44" s="37" t="s">
        <v>202</v>
      </c>
    </row>
    <row r="45" spans="1:2" x14ac:dyDescent="0.2">
      <c r="A45" s="37" t="s">
        <v>216</v>
      </c>
      <c r="B45" s="129" t="s">
        <v>217</v>
      </c>
    </row>
    <row r="46" spans="1:2" x14ac:dyDescent="0.2">
      <c r="A46" s="37" t="s">
        <v>218</v>
      </c>
      <c r="B46" s="129" t="s">
        <v>219</v>
      </c>
    </row>
    <row r="47" spans="1:2" x14ac:dyDescent="0.2">
      <c r="A47" s="37" t="s">
        <v>220</v>
      </c>
      <c r="B47" s="129" t="s">
        <v>221</v>
      </c>
    </row>
    <row r="48" spans="1:2" x14ac:dyDescent="0.2">
      <c r="A48" s="37" t="s">
        <v>222</v>
      </c>
      <c r="B48" s="129" t="s">
        <v>223</v>
      </c>
    </row>
    <row r="49" spans="1:2" x14ac:dyDescent="0.2">
      <c r="A49" s="37" t="s">
        <v>231</v>
      </c>
      <c r="B49" s="129" t="s">
        <v>232</v>
      </c>
    </row>
    <row r="50" spans="1:2" x14ac:dyDescent="0.2">
      <c r="A50" s="37" t="s">
        <v>237</v>
      </c>
      <c r="B50" s="129" t="s">
        <v>235</v>
      </c>
    </row>
    <row r="51" spans="1:2" x14ac:dyDescent="0.2">
      <c r="A51" s="37" t="s">
        <v>241</v>
      </c>
      <c r="B51" s="129" t="s">
        <v>240</v>
      </c>
    </row>
    <row r="52" spans="1:2" x14ac:dyDescent="0.2">
      <c r="A52" s="37" t="s">
        <v>242</v>
      </c>
      <c r="B52" s="37" t="s">
        <v>243</v>
      </c>
    </row>
    <row r="53" spans="1:2" x14ac:dyDescent="0.2">
      <c r="A53" s="37" t="s">
        <v>244</v>
      </c>
      <c r="B53" s="37" t="s">
        <v>253</v>
      </c>
    </row>
    <row r="54" spans="1:2" x14ac:dyDescent="0.2">
      <c r="A54" s="37" t="s">
        <v>246</v>
      </c>
      <c r="B54" s="37" t="s">
        <v>245</v>
      </c>
    </row>
    <row r="55" spans="1:2" x14ac:dyDescent="0.2">
      <c r="A55" s="37" t="s">
        <v>248</v>
      </c>
      <c r="B55" s="37" t="s">
        <v>249</v>
      </c>
    </row>
    <row r="56" spans="1:2" x14ac:dyDescent="0.2">
      <c r="A56" s="37"/>
      <c r="B56" s="37"/>
    </row>
    <row r="57" spans="1:2" x14ac:dyDescent="0.2">
      <c r="A57" s="37"/>
      <c r="B57" s="37"/>
    </row>
    <row r="58" spans="1:2" x14ac:dyDescent="0.2">
      <c r="A58" s="37"/>
      <c r="B58" s="37"/>
    </row>
    <row r="59" spans="1:2" x14ac:dyDescent="0.2">
      <c r="A59" s="37"/>
      <c r="B59" s="37"/>
    </row>
    <row r="60" spans="1:2" x14ac:dyDescent="0.2">
      <c r="A60" s="37"/>
      <c r="B60" s="37"/>
    </row>
    <row r="61" spans="1:2" x14ac:dyDescent="0.2">
      <c r="A61" s="37"/>
      <c r="B61" s="37"/>
    </row>
    <row r="62" spans="1:2" x14ac:dyDescent="0.2">
      <c r="A62" s="37"/>
      <c r="B62" s="37"/>
    </row>
    <row r="63" spans="1:2" x14ac:dyDescent="0.2">
      <c r="A63" s="37"/>
      <c r="B63" s="37"/>
    </row>
    <row r="64" spans="1:2" x14ac:dyDescent="0.2">
      <c r="A64" s="37"/>
      <c r="B64" s="37"/>
    </row>
    <row r="65" spans="1:2" x14ac:dyDescent="0.2">
      <c r="A65" s="37"/>
      <c r="B65" s="37"/>
    </row>
    <row r="66" spans="1:2" x14ac:dyDescent="0.2">
      <c r="A66" s="37"/>
      <c r="B66" s="37"/>
    </row>
    <row r="67" spans="1:2" x14ac:dyDescent="0.2">
      <c r="A67" s="37"/>
      <c r="B67" s="37"/>
    </row>
    <row r="68" spans="1:2" x14ac:dyDescent="0.2">
      <c r="A68" s="37"/>
      <c r="B68" s="37"/>
    </row>
    <row r="69" spans="1:2" x14ac:dyDescent="0.2">
      <c r="A69" s="37"/>
      <c r="B69" s="37"/>
    </row>
    <row r="70" spans="1:2" x14ac:dyDescent="0.2">
      <c r="A70" s="37"/>
      <c r="B70" s="37"/>
    </row>
    <row r="71" spans="1:2" x14ac:dyDescent="0.2">
      <c r="A71" s="37"/>
      <c r="B71" s="37"/>
    </row>
    <row r="72" spans="1:2" x14ac:dyDescent="0.2">
      <c r="A72" s="37"/>
      <c r="B72" s="37"/>
    </row>
    <row r="73" spans="1:2" x14ac:dyDescent="0.2">
      <c r="A73" s="37"/>
      <c r="B73" s="37"/>
    </row>
    <row r="74" spans="1:2" x14ac:dyDescent="0.2">
      <c r="A74" s="37"/>
      <c r="B74" s="37"/>
    </row>
    <row r="75" spans="1:2" x14ac:dyDescent="0.2">
      <c r="A75" s="37"/>
      <c r="B75" s="37"/>
    </row>
    <row r="76" spans="1:2" x14ac:dyDescent="0.2">
      <c r="A76" s="37"/>
      <c r="B76" s="37"/>
    </row>
    <row r="77" spans="1:2" x14ac:dyDescent="0.2">
      <c r="A77" s="37"/>
      <c r="B77" s="37"/>
    </row>
    <row r="78" spans="1:2" x14ac:dyDescent="0.2">
      <c r="A78" s="37"/>
      <c r="B78" s="37"/>
    </row>
    <row r="79" spans="1:2" x14ac:dyDescent="0.2">
      <c r="A79" s="37"/>
      <c r="B79" s="37"/>
    </row>
    <row r="80" spans="1:2" x14ac:dyDescent="0.2">
      <c r="A80" s="37"/>
      <c r="B80" s="37"/>
    </row>
    <row r="81" spans="1:2" x14ac:dyDescent="0.2">
      <c r="A81" s="37"/>
      <c r="B81" s="37"/>
    </row>
    <row r="82" spans="1:2" x14ac:dyDescent="0.2">
      <c r="A82" s="37"/>
      <c r="B82" s="37"/>
    </row>
    <row r="83" spans="1:2" x14ac:dyDescent="0.2">
      <c r="A83" s="37"/>
      <c r="B83" s="37"/>
    </row>
    <row r="84" spans="1:2" x14ac:dyDescent="0.2">
      <c r="A84" s="37"/>
      <c r="B84" s="37"/>
    </row>
    <row r="85" spans="1:2" x14ac:dyDescent="0.2">
      <c r="A85" s="37"/>
      <c r="B85" s="37"/>
    </row>
    <row r="86" spans="1:2" x14ac:dyDescent="0.2">
      <c r="A86" s="37"/>
      <c r="B86" s="37"/>
    </row>
    <row r="87" spans="1:2" x14ac:dyDescent="0.2">
      <c r="A87" s="37"/>
      <c r="B87" s="37"/>
    </row>
    <row r="88" spans="1:2" x14ac:dyDescent="0.2">
      <c r="A88" s="37"/>
      <c r="B88" s="37"/>
    </row>
    <row r="89" spans="1:2" x14ac:dyDescent="0.2">
      <c r="A89" s="37"/>
      <c r="B89" s="37"/>
    </row>
    <row r="90" spans="1:2" x14ac:dyDescent="0.2">
      <c r="A90" s="37"/>
      <c r="B90" s="37"/>
    </row>
    <row r="91" spans="1:2" x14ac:dyDescent="0.2">
      <c r="A91" s="37"/>
      <c r="B91" s="37"/>
    </row>
    <row r="92" spans="1:2" x14ac:dyDescent="0.2">
      <c r="A92" s="37"/>
      <c r="B92" s="37"/>
    </row>
    <row r="93" spans="1:2" x14ac:dyDescent="0.2">
      <c r="A93" s="37"/>
      <c r="B93" s="37"/>
    </row>
    <row r="94" spans="1:2" x14ac:dyDescent="0.2">
      <c r="A94" s="37"/>
      <c r="B94" s="37"/>
    </row>
    <row r="95" spans="1:2" x14ac:dyDescent="0.2">
      <c r="A95" s="37"/>
      <c r="B95" s="37"/>
    </row>
    <row r="96" spans="1:2" x14ac:dyDescent="0.2">
      <c r="A96" s="37"/>
      <c r="B96" s="37"/>
    </row>
    <row r="97" spans="1:2" x14ac:dyDescent="0.2">
      <c r="A97" s="37"/>
      <c r="B97" s="37"/>
    </row>
    <row r="98" spans="1:2" x14ac:dyDescent="0.2">
      <c r="A98" s="37"/>
      <c r="B98" s="37"/>
    </row>
    <row r="99" spans="1:2" x14ac:dyDescent="0.2">
      <c r="A99" s="37"/>
      <c r="B99" s="37"/>
    </row>
    <row r="100" spans="1:2" x14ac:dyDescent="0.2">
      <c r="A100" s="37"/>
      <c r="B100" s="37"/>
    </row>
    <row r="101" spans="1:2" x14ac:dyDescent="0.2">
      <c r="A101" s="37"/>
      <c r="B101" s="37"/>
    </row>
    <row r="102" spans="1:2" x14ac:dyDescent="0.2">
      <c r="A102" s="37"/>
      <c r="B102" s="37"/>
    </row>
    <row r="103" spans="1:2" x14ac:dyDescent="0.2">
      <c r="A103" s="37"/>
      <c r="B103" s="37"/>
    </row>
    <row r="104" spans="1:2" x14ac:dyDescent="0.2">
      <c r="A104" s="37"/>
      <c r="B104" s="37"/>
    </row>
    <row r="105" spans="1:2" x14ac:dyDescent="0.2">
      <c r="A105" s="37"/>
      <c r="B105" s="37"/>
    </row>
    <row r="106" spans="1:2" x14ac:dyDescent="0.2">
      <c r="A106" s="37"/>
      <c r="B106" s="37"/>
    </row>
    <row r="107" spans="1:2" x14ac:dyDescent="0.2">
      <c r="A107" s="37"/>
      <c r="B107" s="37"/>
    </row>
    <row r="108" spans="1:2" x14ac:dyDescent="0.2">
      <c r="A108" s="37"/>
      <c r="B108" s="37"/>
    </row>
    <row r="109" spans="1:2" x14ac:dyDescent="0.2">
      <c r="A109" s="37"/>
      <c r="B109" s="37"/>
    </row>
    <row r="110" spans="1:2" x14ac:dyDescent="0.2">
      <c r="A110" s="37"/>
      <c r="B110" s="37"/>
    </row>
    <row r="111" spans="1:2" x14ac:dyDescent="0.2">
      <c r="A111" s="37"/>
      <c r="B111" s="37"/>
    </row>
    <row r="112" spans="1:2" x14ac:dyDescent="0.2">
      <c r="A112" s="37"/>
      <c r="B112" s="37"/>
    </row>
    <row r="113" spans="1:2" x14ac:dyDescent="0.2">
      <c r="A113" s="37"/>
      <c r="B113" s="37"/>
    </row>
    <row r="114" spans="1:2" x14ac:dyDescent="0.2">
      <c r="A114" s="37"/>
      <c r="B114" s="37"/>
    </row>
    <row r="115" spans="1:2" x14ac:dyDescent="0.2">
      <c r="A115" s="37"/>
      <c r="B115" s="37"/>
    </row>
    <row r="116" spans="1:2" x14ac:dyDescent="0.2">
      <c r="A116" s="37"/>
      <c r="B116" s="37"/>
    </row>
    <row r="117" spans="1:2" x14ac:dyDescent="0.2">
      <c r="A117" s="37"/>
      <c r="B117" s="37"/>
    </row>
    <row r="118" spans="1:2" x14ac:dyDescent="0.2">
      <c r="A118" s="37"/>
      <c r="B118" s="37"/>
    </row>
    <row r="119" spans="1:2" x14ac:dyDescent="0.2">
      <c r="A119" s="37"/>
      <c r="B119" s="37"/>
    </row>
    <row r="120" spans="1:2" x14ac:dyDescent="0.2">
      <c r="A120" s="37"/>
      <c r="B120" s="37"/>
    </row>
    <row r="121" spans="1:2" x14ac:dyDescent="0.2">
      <c r="A121" s="37"/>
      <c r="B121" s="37"/>
    </row>
    <row r="122" spans="1:2" x14ac:dyDescent="0.2">
      <c r="A122" s="37"/>
      <c r="B122" s="37"/>
    </row>
    <row r="123" spans="1:2" x14ac:dyDescent="0.2">
      <c r="A123" s="37"/>
      <c r="B123" s="37"/>
    </row>
    <row r="124" spans="1:2" x14ac:dyDescent="0.2">
      <c r="A124" s="37"/>
      <c r="B124" s="37"/>
    </row>
    <row r="125" spans="1:2" x14ac:dyDescent="0.2">
      <c r="A125" s="37"/>
      <c r="B125" s="37"/>
    </row>
    <row r="126" spans="1:2" x14ac:dyDescent="0.2">
      <c r="A126" s="37"/>
      <c r="B126" s="37"/>
    </row>
    <row r="127" spans="1:2" x14ac:dyDescent="0.2">
      <c r="A127" s="37"/>
      <c r="B127" s="37"/>
    </row>
    <row r="128" spans="1:2" x14ac:dyDescent="0.2">
      <c r="A128" s="37"/>
      <c r="B128" s="37"/>
    </row>
    <row r="129" spans="1:2" x14ac:dyDescent="0.2">
      <c r="A129" s="37"/>
      <c r="B129" s="37"/>
    </row>
    <row r="130" spans="1:2" x14ac:dyDescent="0.2">
      <c r="A130" s="37"/>
      <c r="B130" s="37"/>
    </row>
    <row r="131" spans="1:2" x14ac:dyDescent="0.2">
      <c r="A131" s="37"/>
      <c r="B131" s="37"/>
    </row>
    <row r="132" spans="1:2" x14ac:dyDescent="0.2">
      <c r="A132" s="37"/>
      <c r="B132" s="37"/>
    </row>
    <row r="133" spans="1:2" x14ac:dyDescent="0.2">
      <c r="A133" s="37"/>
      <c r="B133" s="37"/>
    </row>
    <row r="134" spans="1:2" x14ac:dyDescent="0.2">
      <c r="A134" s="37"/>
      <c r="B134" s="37"/>
    </row>
    <row r="135" spans="1:2" x14ac:dyDescent="0.2">
      <c r="A135" s="37"/>
      <c r="B135" s="37"/>
    </row>
    <row r="136" spans="1:2" x14ac:dyDescent="0.2">
      <c r="A136" s="37"/>
      <c r="B136" s="37"/>
    </row>
    <row r="137" spans="1:2" x14ac:dyDescent="0.2">
      <c r="A137" s="37"/>
      <c r="B137" s="37"/>
    </row>
    <row r="138" spans="1:2" x14ac:dyDescent="0.2">
      <c r="A138" s="37"/>
      <c r="B138" s="37"/>
    </row>
    <row r="139" spans="1:2" x14ac:dyDescent="0.2">
      <c r="A139" s="37"/>
      <c r="B139" s="37"/>
    </row>
    <row r="140" spans="1:2" x14ac:dyDescent="0.2">
      <c r="A140" s="37"/>
      <c r="B140" s="37"/>
    </row>
    <row r="141" spans="1:2" x14ac:dyDescent="0.2">
      <c r="A141" s="37"/>
      <c r="B141" s="37"/>
    </row>
    <row r="142" spans="1:2" x14ac:dyDescent="0.2">
      <c r="A142" s="37"/>
      <c r="B142" s="37"/>
    </row>
    <row r="143" spans="1:2" x14ac:dyDescent="0.2">
      <c r="A143" s="37"/>
      <c r="B143" s="37"/>
    </row>
    <row r="144" spans="1:2" x14ac:dyDescent="0.2">
      <c r="A144" s="37"/>
      <c r="B144" s="3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y</dc:creator>
  <cp:lastModifiedBy>x y</cp:lastModifiedBy>
  <dcterms:created xsi:type="dcterms:W3CDTF">2015-06-05T18:19:34Z</dcterms:created>
  <dcterms:modified xsi:type="dcterms:W3CDTF">2026-06-16T08:54:27Z</dcterms:modified>
</cp:coreProperties>
</file>